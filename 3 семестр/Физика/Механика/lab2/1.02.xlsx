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<sst xmlns="http://schemas.openxmlformats.org/spreadsheetml/2006/main" count="92" uniqueCount="70">
  <si>
    <t xml:space="preserve">Задание 1, замеры вписываем в таблицы согласно методичке (все что вне таблиц, это расчет погрешностей)</t>
  </si>
  <si>
    <t xml:space="preserve">Гафики(строятся автоматически) построены по мнк, расчет вне таблиц</t>
  </si>
  <si>
    <t xml:space="preserve">Таблица 1</t>
  </si>
  <si>
    <t xml:space="preserve">Погрешности приборов</t>
  </si>
  <si>
    <t xml:space="preserve">x (м)</t>
  </si>
  <si>
    <t xml:space="preserve">x` (м)</t>
  </si>
  <si>
    <r>
      <rPr>
        <b val="true"/>
        <sz val="11"/>
        <color theme="1"/>
        <rFont val="Calibri"/>
        <family val="2"/>
        <charset val="204"/>
      </rPr>
      <t xml:space="preserve">h</t>
    </r>
    <r>
      <rPr>
        <b val="true"/>
        <sz val="8"/>
        <color theme="1"/>
        <rFont val="Calibri"/>
        <family val="2"/>
        <charset val="204"/>
      </rPr>
      <t xml:space="preserve">0 </t>
    </r>
    <r>
      <rPr>
        <b val="true"/>
        <sz val="11"/>
        <color theme="1"/>
        <rFont val="Calibri"/>
        <family val="2"/>
        <charset val="204"/>
      </rPr>
      <t xml:space="preserve">(мм)</t>
    </r>
  </si>
  <si>
    <r>
      <rPr>
        <b val="true"/>
        <sz val="11"/>
        <color theme="1"/>
        <rFont val="Calibri"/>
        <family val="2"/>
        <charset val="204"/>
      </rPr>
      <t xml:space="preserve">h</t>
    </r>
    <r>
      <rPr>
        <b val="true"/>
        <sz val="8"/>
        <color theme="1"/>
        <rFont val="Calibri"/>
        <family val="2"/>
        <charset val="204"/>
      </rPr>
      <t xml:space="preserve">0</t>
    </r>
    <r>
      <rPr>
        <b val="true"/>
        <sz val="11"/>
        <color theme="1"/>
        <rFont val="Calibri"/>
        <family val="2"/>
        <charset val="204"/>
      </rPr>
      <t xml:space="preserve">` (мм)</t>
    </r>
  </si>
  <si>
    <t xml:space="preserve">∆x1=∆x2 (м)</t>
  </si>
  <si>
    <t xml:space="preserve">∆t1=∆t2 (с)</t>
  </si>
  <si>
    <t xml:space="preserve">Таблица 2</t>
  </si>
  <si>
    <t xml:space="preserve">№</t>
  </si>
  <si>
    <t xml:space="preserve">Измеренные величины</t>
  </si>
  <si>
    <t xml:space="preserve">Рассчит. Велич.</t>
  </si>
  <si>
    <t xml:space="preserve">x1, (м)</t>
  </si>
  <si>
    <t xml:space="preserve">x2, (м)</t>
  </si>
  <si>
    <t xml:space="preserve">t1, (с)</t>
  </si>
  <si>
    <t xml:space="preserve">t2, (с)</t>
  </si>
  <si>
    <t xml:space="preserve">(x2-x1), (м)</t>
  </si>
  <si>
    <t xml:space="preserve">(t2^2-t1^2)/2, (с^2)</t>
  </si>
  <si>
    <t xml:space="preserve">(Y)</t>
  </si>
  <si>
    <t xml:space="preserve">(X)</t>
  </si>
  <si>
    <t xml:space="preserve"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</si>
  <si>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 xml:space="preserve">Таблица 3.1</t>
  </si>
  <si>
    <t xml:space="preserve">Некотрые из значений линейной фунции можно записать в отчет о расччетах погрешности по мнк(а, б, ско)</t>
  </si>
  <si>
    <t xml:space="preserve">h, (мм)</t>
  </si>
  <si>
    <t xml:space="preserve">h`, (мм)</t>
  </si>
  <si>
    <t xml:space="preserve">№ опыта</t>
  </si>
  <si>
    <t xml:space="preserve">t1, (c)</t>
  </si>
  <si>
    <t xml:space="preserve">t2, (c)</t>
  </si>
  <si>
    <t xml:space="preserve">Количество пластин</t>
  </si>
  <si>
    <t xml:space="preserve">sin a</t>
  </si>
  <si>
    <t xml:space="preserve">a, (м/с^2)</t>
  </si>
  <si>
    <t xml:space="preserve">В</t>
  </si>
  <si>
    <t xml:space="preserve">А</t>
  </si>
  <si>
    <r>
      <rPr>
        <b val="true"/>
        <sz val="11"/>
        <color theme="1"/>
        <rFont val="Times New Roman"/>
        <family val="1"/>
        <charset val="204"/>
      </rPr>
      <t xml:space="preserve">t1ср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∆t1 (1)</t>
    </r>
  </si>
  <si>
    <r>
      <rPr>
        <b val="true"/>
        <sz val="11"/>
        <color theme="1"/>
        <rFont val="Times New Roman"/>
        <family val="1"/>
        <charset val="204"/>
      </rPr>
      <t xml:space="preserve">t2ср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∆t2 (1)</t>
    </r>
  </si>
  <si>
    <t xml:space="preserve">aср ± ∆aср (1)</t>
  </si>
  <si>
    <r>
      <rPr>
        <b val="true"/>
        <sz val="11"/>
        <color theme="1"/>
        <rFont val="Times New Roman"/>
        <family val="1"/>
        <charset val="204"/>
      </rPr>
      <t xml:space="preserve">t1ср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∆t1 (2)</t>
    </r>
  </si>
  <si>
    <r>
      <rPr>
        <b val="true"/>
        <sz val="11"/>
        <color theme="1"/>
        <rFont val="Times New Roman"/>
        <family val="1"/>
        <charset val="204"/>
      </rPr>
      <t xml:space="preserve">t2ср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∆t2 (2)</t>
    </r>
  </si>
  <si>
    <t xml:space="preserve">aср ± ∆aср (2)</t>
  </si>
  <si>
    <r>
      <rPr>
        <b val="true"/>
        <sz val="11"/>
        <color theme="1"/>
        <rFont val="Times New Roman"/>
        <family val="1"/>
        <charset val="204"/>
      </rPr>
      <t xml:space="preserve">t1ср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∆t1 (3)</t>
    </r>
  </si>
  <si>
    <r>
      <rPr>
        <b val="true"/>
        <sz val="11"/>
        <color theme="1"/>
        <rFont val="Times New Roman"/>
        <family val="1"/>
        <charset val="204"/>
      </rPr>
      <t xml:space="preserve">t2ср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∆t2 (3)</t>
    </r>
  </si>
  <si>
    <t xml:space="preserve">aср ± ∆aср (3)</t>
  </si>
  <si>
    <r>
      <rPr>
        <b val="true"/>
        <sz val="11"/>
        <color theme="1"/>
        <rFont val="Times New Roman"/>
        <family val="1"/>
        <charset val="204"/>
      </rPr>
      <t xml:space="preserve">t1ср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∆t1 (4)</t>
    </r>
  </si>
  <si>
    <r>
      <rPr>
        <b val="true"/>
        <sz val="11"/>
        <color theme="1"/>
        <rFont val="Times New Roman"/>
        <family val="1"/>
        <charset val="204"/>
      </rPr>
      <t xml:space="preserve">t2ср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∆t2 (4)</t>
    </r>
  </si>
  <si>
    <t xml:space="preserve">aср ± ∆aср (4)</t>
  </si>
  <si>
    <r>
      <rPr>
        <b val="true"/>
        <sz val="11"/>
        <color theme="1"/>
        <rFont val="Times New Roman"/>
        <family val="1"/>
        <charset val="204"/>
      </rPr>
      <t xml:space="preserve">t1ср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∆t1 (5)</t>
    </r>
  </si>
  <si>
    <r>
      <rPr>
        <b val="true"/>
        <sz val="11"/>
        <color theme="1"/>
        <rFont val="Times New Roman"/>
        <family val="1"/>
        <charset val="204"/>
      </rPr>
      <t xml:space="preserve">t2ср </t>
    </r>
    <r>
      <rPr>
        <b val="true"/>
        <sz val="11"/>
        <color theme="1"/>
        <rFont val="Calibri"/>
        <family val="2"/>
        <charset val="204"/>
      </rPr>
      <t xml:space="preserve">±</t>
    </r>
    <r>
      <rPr>
        <b val="true"/>
        <sz val="11"/>
        <color theme="1"/>
        <rFont val="Times New Roman"/>
        <family val="1"/>
        <charset val="204"/>
      </rPr>
      <t xml:space="preserve"> ∆t2 (5)</t>
    </r>
  </si>
  <si>
    <t xml:space="preserve">aср ± ∆aср (5)</t>
  </si>
  <si>
    <t xml:space="preserve">(1) для табл. 3.1</t>
  </si>
  <si>
    <t xml:space="preserve">(2) для табл. 3.2</t>
  </si>
  <si>
    <t xml:space="preserve">(3) для табл. 3.3</t>
  </si>
  <si>
    <t xml:space="preserve">(4) для табл. 3.4</t>
  </si>
  <si>
    <t xml:space="preserve">(5) для табл. 3.5</t>
  </si>
  <si>
    <t xml:space="preserve">Таблица 3.2</t>
  </si>
  <si>
    <r>
      <rPr>
        <b val="true"/>
        <sz val="11"/>
        <color theme="1"/>
        <rFont val="Calibri"/>
        <family val="2"/>
        <charset val="204"/>
      </rPr>
      <t xml:space="preserve">t1</t>
    </r>
    <r>
      <rPr>
        <b val="true"/>
        <sz val="8"/>
        <color theme="1"/>
        <rFont val="Calibri"/>
        <family val="2"/>
        <charset val="204"/>
      </rPr>
      <t xml:space="preserve">ср</t>
    </r>
  </si>
  <si>
    <r>
      <rPr>
        <b val="true"/>
        <sz val="11"/>
        <color theme="1"/>
        <rFont val="Calibri"/>
        <family val="2"/>
        <charset val="204"/>
      </rPr>
      <t xml:space="preserve">t2</t>
    </r>
    <r>
      <rPr>
        <b val="true"/>
        <sz val="8"/>
        <color theme="1"/>
        <rFont val="Calibri"/>
        <family val="2"/>
        <charset val="204"/>
      </rPr>
      <t xml:space="preserve">ср</t>
    </r>
  </si>
  <si>
    <t xml:space="preserve">∆t1сл</t>
  </si>
  <si>
    <t xml:space="preserve">∆t1</t>
  </si>
  <si>
    <t xml:space="preserve">∆t2сл</t>
  </si>
  <si>
    <t xml:space="preserve">∆t2</t>
  </si>
  <si>
    <t xml:space="preserve">d</t>
  </si>
  <si>
    <t xml:space="preserve">D</t>
  </si>
  <si>
    <t xml:space="preserve">СКО B</t>
  </si>
  <si>
    <r>
      <rPr>
        <b val="true"/>
        <sz val="11"/>
        <color theme="1"/>
        <rFont val="Calibri"/>
        <family val="2"/>
        <charset val="204"/>
      </rPr>
      <t xml:space="preserve">a</t>
    </r>
    <r>
      <rPr>
        <b val="true"/>
        <sz val="8"/>
        <color theme="1"/>
        <rFont val="Calibri"/>
        <family val="2"/>
        <charset val="204"/>
      </rPr>
      <t xml:space="preserve">ср</t>
    </r>
  </si>
  <si>
    <r>
      <rPr>
        <b val="true"/>
        <sz val="11"/>
        <color theme="1"/>
        <rFont val="Calibri"/>
        <family val="2"/>
        <charset val="204"/>
      </rPr>
      <t xml:space="preserve">∆a</t>
    </r>
    <r>
      <rPr>
        <b val="true"/>
        <sz val="8"/>
        <color theme="1"/>
        <rFont val="Calibri"/>
        <family val="2"/>
        <charset val="204"/>
      </rPr>
      <t xml:space="preserve">ср</t>
    </r>
  </si>
  <si>
    <t xml:space="preserve">Таблица 3.3</t>
  </si>
  <si>
    <t xml:space="preserve">Таблица 3.4</t>
  </si>
  <si>
    <t xml:space="preserve">Таблица 3.5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</si>
</sst>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13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8"/>
      <color theme="1"/>
      <name val="Calibri"/>
      <family val="2"/>
      <charset val="204"/>
    </font>
    <font>
      <sz val="11"/>
      <name val="Times New Roman"/>
      <family val="1"/>
      <charset val="204"/>
    </font>
    <font>
      <i val="true"/>
      <sz val="11"/>
      <color theme="1"/>
      <name val="Calibri"/>
      <family val="2"/>
      <charset val="204"/>
    </font>
    <font>
      <sz val="11"/>
      <color theme="0" tint="-0.35"/>
      <name val="Calibri"/>
      <family val="2"/>
      <charset val="204"/>
    </font>
    <font>
      <sz val="11"/>
      <color theme="0" tint="-0.5"/>
      <name val="Calibri"/>
      <family val="2"/>
      <charset val="204"/>
    </font>
    <font>
      <b val="true"/>
      <sz val="11"/>
      <color theme="1"/>
      <name val="Times New Roman"/>
      <family val="1"/>
      <charset val="204"/>
    </font>
    <font>
      <sz val="9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FBE5D6"/>
      </patternFill>
    </fill>
    <fill>
      <patternFill patternType="solid">
        <fgColor theme="0" tint="-0.15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theme="0"/>
        <bgColor rgb="FFF2F2F2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40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B3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2f5597"/>
            </a:solidFill>
            <a:ln w="25560">
              <a:noFill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2.535</c:v>
                </c:pt>
                <c:pt idx="1">
                  <c:v>3.52</c:v>
                </c:pt>
                <c:pt idx="2">
                  <c:v>5.5</c:v>
                </c:pt>
                <c:pt idx="3">
                  <c:v>7.155</c:v>
                </c:pt>
                <c:pt idx="4">
                  <c:v>9.145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0.55</c:v>
                </c:pt>
                <c:pt idx="3">
                  <c:v>0.75</c:v>
                </c:pt>
                <c:pt idx="4">
                  <c:v>0.95</c:v>
                </c:pt>
              </c:numCache>
            </c:numRef>
          </c:yVal>
          <c:smooth val="0"/>
        </c:ser>
        <c:axId val="23694885"/>
        <c:axId val="20566662"/>
      </c:scatterChart>
      <c:valAx>
        <c:axId val="236948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0566662"/>
        <c:crosses val="autoZero"/>
        <c:crossBetween val="midCat"/>
      </c:valAx>
      <c:valAx>
        <c:axId val="205666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36948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2f5597"/>
            </a:solidFill>
            <a:ln w="25560">
              <a:noFill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Лист1!$J$23:$J$27</c:f>
              <c:numCache>
                <c:formatCode>General</c:formatCode>
                <c:ptCount val="5"/>
                <c:pt idx="0">
                  <c:v>-10.2564102564103</c:v>
                </c:pt>
                <c:pt idx="1">
                  <c:v>-20.5128205128205</c:v>
                </c:pt>
                <c:pt idx="2">
                  <c:v>-30.7692307692308</c:v>
                </c:pt>
                <c:pt idx="3">
                  <c:v>-41.025641025641</c:v>
                </c:pt>
                <c:pt idx="4">
                  <c:v>-53.8461538461539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0.117283950617284</c:v>
                </c:pt>
                <c:pt idx="1">
                  <c:v>0.234881076002571</c:v>
                </c:pt>
                <c:pt idx="2">
                  <c:v>0.301721399987296</c:v>
                </c:pt>
                <c:pt idx="3">
                  <c:v>0.403191579662168</c:v>
                </c:pt>
                <c:pt idx="4">
                  <c:v>0.558232459748501</c:v>
                </c:pt>
              </c:numCache>
            </c:numRef>
          </c:yVal>
          <c:smooth val="0"/>
        </c:ser>
        <c:axId val="89589274"/>
        <c:axId val="7530318"/>
      </c:scatterChart>
      <c:valAx>
        <c:axId val="8958927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530318"/>
        <c:crosses val="autoZero"/>
        <c:crossBetween val="midCat"/>
      </c:valAx>
      <c:valAx>
        <c:axId val="75303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95892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247680</xdr:colOff>
      <xdr:row>4</xdr:row>
      <xdr:rowOff>8280</xdr:rowOff>
    </xdr:from>
    <xdr:to>
      <xdr:col>14</xdr:col>
      <xdr:colOff>456840</xdr:colOff>
      <xdr:row>17</xdr:row>
      <xdr:rowOff>84240</xdr:rowOff>
    </xdr:to>
    <xdr:graphicFrame>
      <xdr:nvGraphicFramePr>
        <xdr:cNvPr id="0" name="Диаграмма 4"/>
        <xdr:cNvGraphicFramePr/>
      </xdr:nvGraphicFramePr>
      <xdr:xfrm>
        <a:off x="7695000" y="800280"/>
        <a:ext cx="5250240" cy="255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85680</xdr:colOff>
      <xdr:row>39</xdr:row>
      <xdr:rowOff>168840</xdr:rowOff>
    </xdr:from>
    <xdr:to>
      <xdr:col>13</xdr:col>
      <xdr:colOff>495000</xdr:colOff>
      <xdr:row>62</xdr:row>
      <xdr:rowOff>168480</xdr:rowOff>
    </xdr:to>
    <xdr:graphicFrame>
      <xdr:nvGraphicFramePr>
        <xdr:cNvPr id="1" name="Диаграмма 13"/>
        <xdr:cNvGraphicFramePr/>
      </xdr:nvGraphicFramePr>
      <xdr:xfrm>
        <a:off x="4965480" y="7657920"/>
        <a:ext cx="7406640" cy="43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V63"/>
  <sheetViews>
    <sheetView showFormulas="false" showGridLines="true" showRowColHeaders="true" showZeros="true" rightToLeft="false" tabSelected="true" showOutlineSymbols="true" defaultGridColor="true" view="normal" topLeftCell="F1" colorId="64" zoomScale="123" zoomScaleNormal="123" zoomScalePageLayoutView="100" workbookViewId="0">
      <selection pane="topLeft" activeCell="I12" activeCellId="0" sqref="I12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9.14"/>
    <col collapsed="false" customWidth="true" hidden="false" outlineLevel="0" max="8" min="7" style="0" width="16.71"/>
    <col collapsed="false" customWidth="true" hidden="false" outlineLevel="0" max="9" min="9" style="0" width="19.71"/>
    <col collapsed="false" customWidth="true" hidden="false" outlineLevel="0" max="13" min="10" style="0" width="15.71"/>
    <col collapsed="false" customWidth="true" hidden="false" outlineLevel="0" max="16" min="16" style="0" width="12"/>
    <col collapsed="false" customWidth="true" hidden="false" outlineLevel="0" max="19" min="18" style="0" width="13.71"/>
    <col collapsed="false" customWidth="true" hidden="false" outlineLevel="0" max="20" min="20" style="0" width="7.71"/>
  </cols>
  <sheetData>
    <row r="3" s="1" customFormat="true" ht="17.35" hidden="false" customHeight="false" outlineLevel="0" collapsed="false">
      <c r="A3" s="1" t="s">
        <v>0</v>
      </c>
    </row>
    <row r="4" customFormat="false" ht="15" hidden="false" customHeight="false" outlineLevel="0" collapsed="false">
      <c r="L4" s="0" t="s">
        <v>1</v>
      </c>
    </row>
    <row r="5" customFormat="false" ht="15" hidden="false" customHeight="false" outlineLevel="0" collapsed="false">
      <c r="B5" s="2" t="s">
        <v>2</v>
      </c>
      <c r="C5" s="2"/>
      <c r="D5" s="2"/>
      <c r="E5" s="2"/>
      <c r="G5" s="2" t="s">
        <v>3</v>
      </c>
      <c r="H5" s="2"/>
    </row>
    <row r="6" customFormat="false" ht="15" hidden="false" customHeight="false" outlineLevel="0" collapsed="false">
      <c r="B6" s="3" t="s">
        <v>4</v>
      </c>
      <c r="C6" s="3" t="s">
        <v>5</v>
      </c>
      <c r="D6" s="3" t="s">
        <v>6</v>
      </c>
      <c r="E6" s="3" t="s">
        <v>7</v>
      </c>
      <c r="G6" s="4" t="s">
        <v>8</v>
      </c>
      <c r="H6" s="4" t="s">
        <v>9</v>
      </c>
    </row>
    <row r="7" customFormat="false" ht="15" hidden="false" customHeight="false" outlineLevel="0" collapsed="false">
      <c r="B7" s="5" t="n">
        <v>0.22</v>
      </c>
      <c r="C7" s="5" t="n">
        <v>1</v>
      </c>
      <c r="D7" s="6" t="n">
        <v>181</v>
      </c>
      <c r="E7" s="6" t="n">
        <v>181</v>
      </c>
      <c r="G7" s="7" t="n">
        <v>0.005</v>
      </c>
      <c r="H7" s="7" t="n">
        <v>0.05</v>
      </c>
    </row>
    <row r="8" customFormat="false" ht="15" hidden="false" customHeight="false" outlineLevel="0" collapsed="false">
      <c r="B8" s="8"/>
      <c r="C8" s="8"/>
    </row>
    <row r="9" customFormat="false" ht="15" hidden="false" customHeight="false" outlineLevel="0" collapsed="false">
      <c r="B9" s="2" t="s">
        <v>10</v>
      </c>
      <c r="C9" s="2"/>
      <c r="D9" s="2"/>
      <c r="E9" s="2"/>
      <c r="F9" s="2"/>
      <c r="G9" s="2"/>
      <c r="H9" s="2"/>
    </row>
    <row r="10" customFormat="false" ht="15" hidden="false" customHeight="false" outlineLevel="0" collapsed="false">
      <c r="B10" s="9" t="s">
        <v>11</v>
      </c>
      <c r="C10" s="9" t="s">
        <v>12</v>
      </c>
      <c r="D10" s="9"/>
      <c r="E10" s="9"/>
      <c r="F10" s="9"/>
      <c r="G10" s="9" t="s">
        <v>13</v>
      </c>
      <c r="H10" s="9"/>
    </row>
    <row r="11" customFormat="false" ht="15" hidden="false" customHeight="false" outlineLevel="0" collapsed="false">
      <c r="B11" s="9"/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  <c r="H11" s="9" t="s">
        <v>19</v>
      </c>
    </row>
    <row r="12" customFormat="false" ht="15" hidden="false" customHeight="false" outlineLevel="0" collapsed="false">
      <c r="B12" s="9" t="n">
        <v>1</v>
      </c>
      <c r="C12" s="10" t="n">
        <v>0.15</v>
      </c>
      <c r="D12" s="10" t="n">
        <v>0.4</v>
      </c>
      <c r="E12" s="10" t="n">
        <v>1.3</v>
      </c>
      <c r="F12" s="10" t="n">
        <v>2.6</v>
      </c>
      <c r="G12" s="11" t="n">
        <f aca="false">(D12-C12)</f>
        <v>0.25</v>
      </c>
      <c r="H12" s="12" t="n">
        <f aca="false">(F12^2-E12^2)/2</f>
        <v>2.535</v>
      </c>
      <c r="I12" s="0" t="n">
        <f aca="false">G12*H12+G13*H13+G14*H14+G15*H15+G16*H16</f>
        <v>18.94475</v>
      </c>
      <c r="P12" s="0" t="n">
        <f aca="false">(G12-I$14*H12)^2</f>
        <v>0.000124520283143499</v>
      </c>
      <c r="Q12" s="0" t="n">
        <f aca="false">SUM(P12:P16)</f>
        <v>0.000788197045896728</v>
      </c>
      <c r="R12" s="0" t="n">
        <f aca="false">Q12/(4*I13)</f>
        <v>1.07155074569951E-006</v>
      </c>
    </row>
    <row r="13" customFormat="false" ht="15" hidden="false" customHeight="false" outlineLevel="0" collapsed="false">
      <c r="B13" s="9" t="n">
        <v>2</v>
      </c>
      <c r="C13" s="10" t="n">
        <v>0.15</v>
      </c>
      <c r="D13" s="10" t="n">
        <v>0.5</v>
      </c>
      <c r="E13" s="10" t="n">
        <v>1.4</v>
      </c>
      <c r="F13" s="10" t="n">
        <v>3</v>
      </c>
      <c r="G13" s="11" t="n">
        <f aca="false">(D13-C13)</f>
        <v>0.35</v>
      </c>
      <c r="H13" s="12" t="n">
        <f aca="false">(F13^2-E13^2)/2</f>
        <v>3.52</v>
      </c>
      <c r="I13" s="0" t="n">
        <f aca="false">H12^2+H13^2+H14^2+H15^2+H16^2</f>
        <v>183.891675</v>
      </c>
      <c r="P13" s="0" t="n">
        <f aca="false">(G13-I$14*H13)^2</f>
        <v>0.000159638063128856</v>
      </c>
      <c r="R13" s="0" t="n">
        <f aca="false">SQRT(R12)</f>
        <v>0.00103515735311087</v>
      </c>
    </row>
    <row r="14" customFormat="false" ht="15" hidden="false" customHeight="false" outlineLevel="0" collapsed="false">
      <c r="B14" s="9" t="n">
        <v>3</v>
      </c>
      <c r="C14" s="10" t="n">
        <v>0.15</v>
      </c>
      <c r="D14" s="10" t="n">
        <v>0.7</v>
      </c>
      <c r="E14" s="10" t="n">
        <v>1.4</v>
      </c>
      <c r="F14" s="10" t="n">
        <v>3.6</v>
      </c>
      <c r="G14" s="11" t="n">
        <f aca="false">(D14-C14)</f>
        <v>0.55</v>
      </c>
      <c r="H14" s="12" t="n">
        <f aca="false">(F14^2-E14^2)/2</f>
        <v>5.5</v>
      </c>
      <c r="I14" s="0" t="n">
        <f aca="false">I12/I13</f>
        <v>0.10302124878682</v>
      </c>
      <c r="P14" s="0" t="n">
        <f aca="false">(G14-I$14*H14)^2</f>
        <v>0.00027612031301376</v>
      </c>
    </row>
    <row r="15" customFormat="false" ht="15" hidden="false" customHeight="false" outlineLevel="0" collapsed="false">
      <c r="B15" s="9" t="n">
        <v>4</v>
      </c>
      <c r="C15" s="10" t="n">
        <v>0.15</v>
      </c>
      <c r="D15" s="10" t="n">
        <v>0.9</v>
      </c>
      <c r="E15" s="10" t="n">
        <v>1.3</v>
      </c>
      <c r="F15" s="10" t="n">
        <v>4</v>
      </c>
      <c r="G15" s="11" t="n">
        <f aca="false">(D15-C15)</f>
        <v>0.75</v>
      </c>
      <c r="H15" s="12" t="n">
        <f aca="false">(F15^2-E15^2)/2</f>
        <v>7.155</v>
      </c>
      <c r="P15" s="0" t="n">
        <f aca="false">(G15-I$14*H15)^2</f>
        <v>0.000165970785395464</v>
      </c>
    </row>
    <row r="16" customFormat="false" ht="15" hidden="false" customHeight="false" outlineLevel="0" collapsed="false">
      <c r="B16" s="9" t="n">
        <v>5</v>
      </c>
      <c r="C16" s="10" t="n">
        <v>0.15</v>
      </c>
      <c r="D16" s="10" t="n">
        <v>1.1</v>
      </c>
      <c r="E16" s="10" t="n">
        <v>1.4</v>
      </c>
      <c r="F16" s="10" t="n">
        <v>4.5</v>
      </c>
      <c r="G16" s="11" t="n">
        <f aca="false">(D16-C16)</f>
        <v>0.95</v>
      </c>
      <c r="H16" s="12" t="n">
        <f aca="false">(F16^2-E16^2)/2</f>
        <v>9.145</v>
      </c>
      <c r="P16" s="0" t="n">
        <f aca="false">(G16-I$14*H16)^2</f>
        <v>6.19476012151492E-005</v>
      </c>
    </row>
    <row r="17" customFormat="false" ht="15" hidden="false" customHeight="false" outlineLevel="0" collapsed="false">
      <c r="G17" s="13" t="s">
        <v>20</v>
      </c>
      <c r="H17" s="13" t="s">
        <v>21</v>
      </c>
    </row>
    <row r="19" s="1" customFormat="true" ht="17.35" hidden="false" customHeight="false" outlineLevel="0" collapsed="false">
      <c r="A19" s="1" t="s">
        <v>22</v>
      </c>
    </row>
    <row r="21" customFormat="false" ht="15" hidden="false" customHeight="false" outlineLevel="0" collapsed="false">
      <c r="B21" s="2" t="s">
        <v>23</v>
      </c>
      <c r="C21" s="2"/>
      <c r="D21" s="2"/>
      <c r="E21" s="2"/>
      <c r="F21" s="2"/>
      <c r="Q21" s="0" t="s">
        <v>24</v>
      </c>
    </row>
    <row r="22" customFormat="false" ht="15" hidden="false" customHeight="false" outlineLevel="0" collapsed="false">
      <c r="B22" s="9" t="s">
        <v>25</v>
      </c>
      <c r="C22" s="9" t="s">
        <v>26</v>
      </c>
      <c r="D22" s="9" t="s">
        <v>27</v>
      </c>
      <c r="E22" s="9" t="s">
        <v>28</v>
      </c>
      <c r="F22" s="9" t="s">
        <v>29</v>
      </c>
      <c r="I22" s="9" t="s">
        <v>30</v>
      </c>
      <c r="J22" s="9" t="s">
        <v>31</v>
      </c>
      <c r="K22" s="9" t="s">
        <v>28</v>
      </c>
      <c r="L22" s="9" t="s">
        <v>29</v>
      </c>
      <c r="M22" s="9" t="s">
        <v>32</v>
      </c>
      <c r="T22" s="0" t="s">
        <v>33</v>
      </c>
      <c r="U22" s="0" t="s">
        <v>34</v>
      </c>
    </row>
    <row r="23" customFormat="false" ht="15" hidden="false" customHeight="false" outlineLevel="0" collapsed="false">
      <c r="B23" s="10" t="n">
        <v>189</v>
      </c>
      <c r="C23" s="10" t="n">
        <v>181</v>
      </c>
      <c r="D23" s="9" t="n">
        <v>1</v>
      </c>
      <c r="E23" s="10" t="n">
        <v>1.4</v>
      </c>
      <c r="F23" s="10" t="n">
        <v>4.6</v>
      </c>
      <c r="I23" s="9" t="n">
        <v>1</v>
      </c>
      <c r="J23" s="12" t="n">
        <f aca="false">($D$7-B23-($E$7-C23))/($C$7-$B$7)</f>
        <v>-10.2564102564103</v>
      </c>
      <c r="K23" s="14" t="s">
        <v>35</v>
      </c>
      <c r="L23" s="14" t="s">
        <v>36</v>
      </c>
      <c r="M23" s="15" t="s">
        <v>37</v>
      </c>
      <c r="N23" s="0" t="n">
        <v>0.117283950617284</v>
      </c>
      <c r="P23" s="0" t="n">
        <f aca="false">AVERAGE(J23:J27)</f>
        <v>-31.2820512820513</v>
      </c>
      <c r="R23" s="0" t="n">
        <f aca="false">(J23-$P$23)</f>
        <v>21.025641025641</v>
      </c>
      <c r="S23" s="0" t="n">
        <f aca="false">R23*N$36</f>
        <v>-4.45672179608166</v>
      </c>
      <c r="T23" s="0" t="n">
        <f aca="false">SUM(S23:S27)/SUM(R29:R33)</f>
        <v>-0.00982088933500208</v>
      </c>
      <c r="U23" s="0" t="n">
        <f aca="false">P24-T23*P23</f>
        <v>0.00475900025396181</v>
      </c>
    </row>
    <row r="24" customFormat="false" ht="15" hidden="false" customHeight="false" outlineLevel="0" collapsed="false">
      <c r="B24" s="10"/>
      <c r="C24" s="10"/>
      <c r="D24" s="9" t="n">
        <v>2</v>
      </c>
      <c r="E24" s="10" t="n">
        <v>1.4</v>
      </c>
      <c r="F24" s="10" t="n">
        <v>4.6</v>
      </c>
      <c r="I24" s="9" t="n">
        <v>2</v>
      </c>
      <c r="J24" s="12" t="n">
        <f aca="false">($D$7-B32-($E$7-C32))/($C$7-$B$7)</f>
        <v>-20.5128205128205</v>
      </c>
      <c r="K24" s="14" t="s">
        <v>38</v>
      </c>
      <c r="L24" s="14" t="s">
        <v>39</v>
      </c>
      <c r="M24" s="15" t="s">
        <v>40</v>
      </c>
      <c r="N24" s="0" t="n">
        <v>0.234881076002571</v>
      </c>
      <c r="P24" s="16" t="n">
        <f aca="false">AVERAGE(I36:M36)</f>
        <v>0.311976564066848</v>
      </c>
      <c r="R24" s="0" t="n">
        <f aca="false">(J24-$P$23)</f>
        <v>10.7692307692308</v>
      </c>
      <c r="S24" s="0" t="n">
        <f aca="false">R24*O$36</f>
        <v>-1.18150514352298</v>
      </c>
    </row>
    <row r="25" customFormat="false" ht="15" hidden="false" customHeight="false" outlineLevel="0" collapsed="false">
      <c r="B25" s="10"/>
      <c r="C25" s="10"/>
      <c r="D25" s="9" t="n">
        <v>3</v>
      </c>
      <c r="E25" s="10" t="n">
        <v>1.3</v>
      </c>
      <c r="F25" s="10" t="n">
        <v>4.5</v>
      </c>
      <c r="I25" s="9" t="n">
        <v>3</v>
      </c>
      <c r="J25" s="12" t="n">
        <f aca="false">($D$7-B41-($E$7-C41))/($C$7-$B$7)</f>
        <v>-30.7692307692308</v>
      </c>
      <c r="K25" s="14" t="s">
        <v>41</v>
      </c>
      <c r="L25" s="14" t="s">
        <v>42</v>
      </c>
      <c r="M25" s="15" t="s">
        <v>43</v>
      </c>
      <c r="N25" s="0" t="n">
        <v>0.301721399987296</v>
      </c>
      <c r="R25" s="0" t="n">
        <f aca="false">(J25-$P$23)</f>
        <v>0.512820512820515</v>
      </c>
      <c r="S25" s="0" t="n">
        <f aca="false">R25*P$36</f>
        <v>0.000300064482231408</v>
      </c>
    </row>
    <row r="26" customFormat="false" ht="15" hidden="false" customHeight="false" outlineLevel="0" collapsed="false">
      <c r="B26" s="10"/>
      <c r="C26" s="10"/>
      <c r="D26" s="9" t="n">
        <v>4</v>
      </c>
      <c r="E26" s="10" t="n">
        <v>1.3</v>
      </c>
      <c r="F26" s="10" t="n">
        <v>4.5</v>
      </c>
      <c r="I26" s="9" t="n">
        <v>4</v>
      </c>
      <c r="J26" s="12" t="n">
        <f aca="false">($D$7-B50-($E$7-C50))/($C$7-$B$7)</f>
        <v>-41.025641025641</v>
      </c>
      <c r="K26" s="14" t="s">
        <v>44</v>
      </c>
      <c r="L26" s="14" t="s">
        <v>45</v>
      </c>
      <c r="M26" s="15" t="s">
        <v>46</v>
      </c>
      <c r="N26" s="0" t="n">
        <v>0.403191579662168</v>
      </c>
      <c r="R26" s="0" t="n">
        <f aca="false">(J26-$P$23)</f>
        <v>-9.74358974358974</v>
      </c>
      <c r="S26" s="0" t="n">
        <f aca="false">R26*Q$36</f>
        <v>-1.11518402675415</v>
      </c>
    </row>
    <row r="27" customFormat="false" ht="15" hidden="false" customHeight="false" outlineLevel="0" collapsed="false">
      <c r="B27" s="10"/>
      <c r="C27" s="10"/>
      <c r="D27" s="9" t="n">
        <v>5</v>
      </c>
      <c r="E27" s="10" t="n">
        <v>1.3</v>
      </c>
      <c r="F27" s="10" t="n">
        <v>4.6</v>
      </c>
      <c r="I27" s="9" t="n">
        <v>5</v>
      </c>
      <c r="J27" s="12" t="n">
        <f aca="false">($D$7-B59-($E$7-C59))/($C$7-$B$7)</f>
        <v>-53.8461538461539</v>
      </c>
      <c r="K27" s="14" t="s">
        <v>47</v>
      </c>
      <c r="L27" s="14" t="s">
        <v>48</v>
      </c>
      <c r="M27" s="15" t="s">
        <v>49</v>
      </c>
      <c r="N27" s="0" t="n">
        <v>0.558232459748501</v>
      </c>
      <c r="R27" s="0" t="n">
        <f aca="false">(J27-$P$23)</f>
        <v>-22.5641025641026</v>
      </c>
      <c r="S27" s="0" t="n">
        <f aca="false">R27*R$36</f>
        <v>-4.66262370974979</v>
      </c>
    </row>
    <row r="29" customFormat="false" ht="15" hidden="false" customHeight="false" outlineLevel="0" collapsed="false">
      <c r="H29" s="17"/>
      <c r="I29" s="18" t="s">
        <v>50</v>
      </c>
      <c r="J29" s="19" t="s">
        <v>51</v>
      </c>
      <c r="K29" s="19" t="s">
        <v>52</v>
      </c>
      <c r="L29" s="19" t="s">
        <v>53</v>
      </c>
      <c r="M29" s="19" t="s">
        <v>54</v>
      </c>
      <c r="R29" s="0" t="n">
        <f aca="false">R23^2</f>
        <v>442.077580539119</v>
      </c>
    </row>
    <row r="30" customFormat="false" ht="15" hidden="false" customHeight="false" outlineLevel="0" collapsed="false">
      <c r="B30" s="2" t="s">
        <v>55</v>
      </c>
      <c r="C30" s="2"/>
      <c r="D30" s="2"/>
      <c r="E30" s="2"/>
      <c r="F30" s="2"/>
      <c r="H30" s="20" t="s">
        <v>56</v>
      </c>
      <c r="I30" s="21" t="n">
        <f aca="false">AVERAGE(E23:E27)</f>
        <v>1.34</v>
      </c>
      <c r="J30" s="21" t="n">
        <f aca="false">AVERAGE(E32:E36)</f>
        <v>0.92</v>
      </c>
      <c r="K30" s="21" t="n">
        <f aca="false">AVERAGE(E41:E45)</f>
        <v>0.76</v>
      </c>
      <c r="L30" s="21" t="n">
        <f aca="false">AVERAGE(E50:E54)</f>
        <v>0.62</v>
      </c>
      <c r="M30" s="22" t="n">
        <f aca="false">AVERAGE(E59:E63)</f>
        <v>0.58</v>
      </c>
      <c r="R30" s="0" t="n">
        <f aca="false">R24^2</f>
        <v>115.976331360947</v>
      </c>
    </row>
    <row r="31" customFormat="false" ht="15" hidden="false" customHeight="false" outlineLevel="0" collapsed="false">
      <c r="B31" s="9" t="s">
        <v>25</v>
      </c>
      <c r="C31" s="9" t="s">
        <v>26</v>
      </c>
      <c r="D31" s="9" t="s">
        <v>27</v>
      </c>
      <c r="E31" s="9" t="s">
        <v>28</v>
      </c>
      <c r="F31" s="9" t="s">
        <v>29</v>
      </c>
      <c r="H31" s="20" t="s">
        <v>57</v>
      </c>
      <c r="I31" s="21" t="n">
        <f aca="false">AVERAGE(F23:F27)</f>
        <v>4.56</v>
      </c>
      <c r="J31" s="21" t="n">
        <f aca="false">AVERAGE(F32:F36)</f>
        <v>3.2</v>
      </c>
      <c r="K31" s="21" t="n">
        <f aca="false">AVERAGE(F41:F45)</f>
        <v>2.58</v>
      </c>
      <c r="L31" s="21" t="n">
        <f aca="false">AVERAGE(F50:F54)</f>
        <v>2.2</v>
      </c>
      <c r="M31" s="22" t="n">
        <f aca="false">AVERAGE(F59:F63)</f>
        <v>2</v>
      </c>
      <c r="R31" s="0" t="n">
        <f aca="false">R25^2</f>
        <v>0.262984878369496</v>
      </c>
    </row>
    <row r="32" customFormat="false" ht="15" hidden="false" customHeight="false" outlineLevel="0" collapsed="false">
      <c r="B32" s="10" t="n">
        <v>198</v>
      </c>
      <c r="C32" s="10" t="n">
        <v>182</v>
      </c>
      <c r="D32" s="9" t="n">
        <v>1</v>
      </c>
      <c r="E32" s="10" t="n">
        <v>0.9</v>
      </c>
      <c r="F32" s="10" t="n">
        <v>3.2</v>
      </c>
      <c r="H32" s="23" t="s">
        <v>58</v>
      </c>
      <c r="I32" s="24" t="n">
        <f aca="false">1.2*SQRT(SUM((E23-I30)^2,(E24-I30)^2,(E25-I30)^2,(E26-I30)^2, (E27-I30)^2)/20)</f>
        <v>0.0293938769133981</v>
      </c>
      <c r="J32" s="24" t="n">
        <f aca="false">1.2*SQRT(SUM((E32-J30)^2,(E33-J30)^2,(E34-J30)^2,(E35-J30)^2, (E36-J30)^2)/20)</f>
        <v>0.024</v>
      </c>
      <c r="K32" s="24" t="n">
        <f aca="false">1.2*SQRT(SUM((E41-K30)^2,(E42-K30)^2,(E43-K30)^2,(E44-K30)^2, (E45-K30)^2)/20)</f>
        <v>0.0293938769133982</v>
      </c>
      <c r="L32" s="24" t="n">
        <f aca="false">1.2*SQRT(SUM((E50-L30)^2,(E51-L30)^2,(E52-L30)^2,(E53-L30)^2, (E54-L30)^2)/20)</f>
        <v>0.024</v>
      </c>
      <c r="M32" s="24" t="n">
        <f aca="false">1.2*SQRT(SUM((E59-M30)^2,(E60-M30)^2,(E61-M30)^2,(E62-M30)^2, (E63-M30)^2)/20)</f>
        <v>0.024</v>
      </c>
      <c r="R32" s="0" t="n">
        <f aca="false">R26^2</f>
        <v>94.9375410913872</v>
      </c>
    </row>
    <row r="33" customFormat="false" ht="15" hidden="false" customHeight="false" outlineLevel="0" collapsed="false">
      <c r="B33" s="10"/>
      <c r="C33" s="10"/>
      <c r="D33" s="9" t="n">
        <v>2</v>
      </c>
      <c r="E33" s="10" t="n">
        <v>0.9</v>
      </c>
      <c r="F33" s="10" t="n">
        <v>3.2</v>
      </c>
      <c r="H33" s="20" t="s">
        <v>59</v>
      </c>
      <c r="I33" s="21" t="n">
        <f aca="false">SQRT((I32)^2+($H$7)^2)</f>
        <v>0.058</v>
      </c>
      <c r="J33" s="21" t="n">
        <f aca="false">SQRT((J32)^2+($H$7)^2)</f>
        <v>0.0554616984954482</v>
      </c>
      <c r="K33" s="21" t="n">
        <f aca="false">SQRT((K32)^2+($H$7)^2)</f>
        <v>0.058</v>
      </c>
      <c r="L33" s="21" t="n">
        <f aca="false">SQRT((L32)^2+($H$7)^2)</f>
        <v>0.0554616984954482</v>
      </c>
      <c r="M33" s="22" t="n">
        <f aca="false">SQRT((M32)^2+($H$7)^2)</f>
        <v>0.0554616984954482</v>
      </c>
      <c r="R33" s="0" t="n">
        <f aca="false">R27^2</f>
        <v>509.13872452334</v>
      </c>
    </row>
    <row r="34" customFormat="false" ht="15" hidden="false" customHeight="false" outlineLevel="0" collapsed="false">
      <c r="B34" s="10"/>
      <c r="C34" s="10"/>
      <c r="D34" s="9" t="n">
        <v>3</v>
      </c>
      <c r="E34" s="10" t="n">
        <v>0.9</v>
      </c>
      <c r="F34" s="10" t="n">
        <v>3.2</v>
      </c>
      <c r="H34" s="23" t="s">
        <v>60</v>
      </c>
      <c r="I34" s="24" t="n">
        <f aca="false">1.2*SQRT(SUM((F23-I31)^2,(F24-I31)^2,(F25-I31)^2,(F26-I31)^2, (F27-I31)^2)/20)</f>
        <v>0.029393876913398</v>
      </c>
      <c r="J34" s="24" t="n">
        <f aca="false">1.2*SQRT(SUM((F32-J31)^2,(F33-J31)^2,(F34-J31)^2,(F35-J31)^2, (F36-J31)^2)/20)</f>
        <v>0</v>
      </c>
      <c r="K34" s="24" t="n">
        <f aca="false">1.2*SQRT(SUM((F41-K31)^2,(F42-K31)^2,(F43-K31)^2,(F44-K31)^2, (F45-K31)^2)/20)</f>
        <v>0.024</v>
      </c>
      <c r="L34" s="24" t="n">
        <f aca="false">1.2*SQRT(SUM((F50-L31)^2,(F51-L31)^2,(F52-L31)^2,(F53-L31)^2, (F54-L31)^2)/20)</f>
        <v>0</v>
      </c>
      <c r="M34" s="24" t="n">
        <f aca="false">1.2*SQRT(SUM((F59-M31)^2,(F60-M31)^2,(F61-M31)^2,(F62-M31)^2, (F63-M31)^2)/20)</f>
        <v>0</v>
      </c>
    </row>
    <row r="35" customFormat="false" ht="15" hidden="false" customHeight="false" outlineLevel="0" collapsed="false">
      <c r="B35" s="10"/>
      <c r="C35" s="10"/>
      <c r="D35" s="9" t="n">
        <v>4</v>
      </c>
      <c r="E35" s="10" t="n">
        <v>1</v>
      </c>
      <c r="F35" s="10" t="n">
        <v>3.2</v>
      </c>
      <c r="H35" s="25" t="s">
        <v>61</v>
      </c>
      <c r="I35" s="26" t="n">
        <f aca="false">SQRT((I34)^2+($H$7)^2)</f>
        <v>0.058</v>
      </c>
      <c r="J35" s="26" t="n">
        <f aca="false">SQRT((J34)^2+($H$7)^2)</f>
        <v>0.05</v>
      </c>
      <c r="K35" s="26" t="n">
        <f aca="false">SQRT((K34)^2+($H$7)^2)</f>
        <v>0.0554616984954482</v>
      </c>
      <c r="L35" s="26" t="n">
        <f aca="false">SQRT((L34)^2+($H$7)^2)</f>
        <v>0.05</v>
      </c>
      <c r="M35" s="27" t="n">
        <f aca="false">SQRT((M34)^2+($H$7)^2)</f>
        <v>0.05</v>
      </c>
      <c r="T35" s="0" t="s">
        <v>62</v>
      </c>
      <c r="U35" s="0" t="s">
        <v>63</v>
      </c>
      <c r="V35" s="0" t="s">
        <v>64</v>
      </c>
    </row>
    <row r="36" customFormat="false" ht="15" hidden="false" customHeight="false" outlineLevel="0" collapsed="false">
      <c r="B36" s="10"/>
      <c r="C36" s="10"/>
      <c r="D36" s="9" t="n">
        <v>5</v>
      </c>
      <c r="E36" s="10" t="n">
        <v>0.9</v>
      </c>
      <c r="F36" s="10" t="n">
        <v>3.2</v>
      </c>
      <c r="H36" s="20" t="s">
        <v>65</v>
      </c>
      <c r="I36" s="21" t="n">
        <f aca="false">2*($D$16-$C$16)/(I31^2-I30^2)</f>
        <v>0.100010527423939</v>
      </c>
      <c r="J36" s="21" t="n">
        <f aca="false">2*($D$16-$C$16)/(J31^2-J30^2)</f>
        <v>0.202265372168285</v>
      </c>
      <c r="K36" s="21" t="n">
        <f aca="false">2*($D$16-$C$16)/(K31^2-K30^2)</f>
        <v>0.312561689807199</v>
      </c>
      <c r="L36" s="21" t="n">
        <f aca="false">2*($D$16-$C$16)/(L31^2-L30^2)</f>
        <v>0.426429661549511</v>
      </c>
      <c r="M36" s="21" t="n">
        <f aca="false">2*($D$16-$C$16)/(M31^2-M30^2)</f>
        <v>0.518615569385304</v>
      </c>
      <c r="N36" s="16" t="n">
        <f aca="false">I36-$P$24</f>
        <v>-0.211966036642908</v>
      </c>
      <c r="O36" s="16" t="n">
        <f aca="false">J36-$P$24</f>
        <v>-0.109711191898563</v>
      </c>
      <c r="P36" s="16" t="n">
        <f aca="false">K36-$P$24</f>
        <v>0.000585125740351244</v>
      </c>
      <c r="Q36" s="16" t="n">
        <f aca="false">L36-$P$24</f>
        <v>0.114453097482663</v>
      </c>
      <c r="R36" s="16" t="n">
        <f aca="false">M36-$P$24</f>
        <v>0.206639005318457</v>
      </c>
      <c r="T36" s="16" t="n">
        <f aca="false">O38-($U$23+$T$23*J23)</f>
        <v>-0.00548607035654727</v>
      </c>
      <c r="U36" s="0" t="n">
        <f aca="false">SUM(R29:R33)</f>
        <v>1162.39316239316</v>
      </c>
      <c r="V36" s="0" t="n">
        <f aca="false">SQRT(SUM(T42:T46)/(U36*3))</f>
        <v>0.000410313977470165</v>
      </c>
    </row>
    <row r="37" customFormat="false" ht="15" hidden="false" customHeight="false" outlineLevel="0" collapsed="false">
      <c r="H37" s="20" t="s">
        <v>66</v>
      </c>
      <c r="I37" s="21" t="n">
        <f aca="false">I36*SQRT(($G$7^2+$G$7^2)/($D$16-$C$16)^2+(4*((I30*I33)^2+(I31*I35)^2)/(I31^2-I30^2)^2))</f>
        <v>0.00299626962601795</v>
      </c>
      <c r="J37" s="21" t="n">
        <f aca="false">J36*SQRT(($G$7^2+$G$7^2)/($D$16-$C$16)^2+(4*((J30*J33)^2+(J31*J35)^2)/(J31^2-J30^2)^2))</f>
        <v>0.00738724917240685</v>
      </c>
      <c r="K37" s="21" t="n">
        <f aca="false">K36*SQRT(($G$7^2+$G$7^2)/($D$16-$C$16)^2+(4*((K30*K33)^2+(K31*K35)^2)/(K31^2-K30^2)^2))</f>
        <v>0.0155721743754931</v>
      </c>
      <c r="L37" s="21" t="n">
        <f aca="false">L36*SQRT(($G$7^2+$G$7^2)/($D$16-$C$16)^2+(4*((L30*L33)^2+(L31*L35)^2)/(L31^2-L30^2)^2))</f>
        <v>0.0222873820829887</v>
      </c>
      <c r="M37" s="21" t="n">
        <f aca="false">M36*SQRT(($G$7^2+$G$7^2)/($D$16-$C$16)^2+(4*((M30*M33)^2+(M31*M35)^2)/(M31^2-M30^2)^2))</f>
        <v>0.0299900242685704</v>
      </c>
      <c r="T37" s="16" t="n">
        <f aca="false">O39-($U$23+$T$23*J24)</f>
        <v>0.00778685954086725</v>
      </c>
    </row>
    <row r="38" customFormat="false" ht="15" hidden="false" customHeight="false" outlineLevel="0" collapsed="false">
      <c r="O38" s="0" t="n">
        <v>0.1</v>
      </c>
      <c r="T38" s="16" t="n">
        <f aca="false">O40-($U$23+$T$23*J25)</f>
        <v>-0.00494021056171823</v>
      </c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O39" s="0" t="n">
        <v>0.214</v>
      </c>
      <c r="T39" s="16" t="n">
        <f aca="false">O41-($U$23+$T$23*J26)</f>
        <v>-0.0216672806643037</v>
      </c>
    </row>
    <row r="40" customFormat="false" ht="15" hidden="false" customHeight="false" outlineLevel="0" collapsed="false">
      <c r="B40" s="9" t="s">
        <v>25</v>
      </c>
      <c r="C40" s="9" t="s">
        <v>26</v>
      </c>
      <c r="D40" s="9" t="s">
        <v>27</v>
      </c>
      <c r="E40" s="9" t="s">
        <v>28</v>
      </c>
      <c r="F40" s="9" t="s">
        <v>29</v>
      </c>
      <c r="O40" s="0" t="n">
        <v>0.302</v>
      </c>
      <c r="T40" s="16" t="n">
        <f aca="false">O42-($U$23+$T$23*J27)</f>
        <v>-0.00157611829253557</v>
      </c>
    </row>
    <row r="41" customFormat="false" ht="15" hidden="false" customHeight="false" outlineLevel="0" collapsed="false">
      <c r="B41" s="10" t="n">
        <v>207</v>
      </c>
      <c r="C41" s="10" t="n">
        <v>183</v>
      </c>
      <c r="D41" s="9" t="n">
        <v>1</v>
      </c>
      <c r="E41" s="10" t="n">
        <v>0.7</v>
      </c>
      <c r="F41" s="10" t="n">
        <v>2.5</v>
      </c>
      <c r="O41" s="0" t="n">
        <v>0.386</v>
      </c>
    </row>
    <row r="42" customFormat="false" ht="15" hidden="false" customHeight="false" outlineLevel="0" collapsed="false">
      <c r="B42" s="10"/>
      <c r="C42" s="10"/>
      <c r="D42" s="9" t="n">
        <v>2</v>
      </c>
      <c r="E42" s="10" t="n">
        <v>0.7</v>
      </c>
      <c r="F42" s="10" t="n">
        <v>2.6</v>
      </c>
      <c r="O42" s="0" t="n">
        <v>0.532</v>
      </c>
      <c r="T42" s="16" t="n">
        <f aca="false">T36^2</f>
        <v>3.00969679569867E-005</v>
      </c>
    </row>
    <row r="43" customFormat="false" ht="15" hidden="false" customHeight="false" outlineLevel="0" collapsed="false">
      <c r="B43" s="10"/>
      <c r="C43" s="10"/>
      <c r="D43" s="9" t="n">
        <v>3</v>
      </c>
      <c r="E43" s="10" t="n">
        <v>0.8</v>
      </c>
      <c r="F43" s="10" t="n">
        <v>2.6</v>
      </c>
      <c r="T43" s="16" t="n">
        <f aca="false">T37^2</f>
        <v>6.06351815091953E-005</v>
      </c>
    </row>
    <row r="44" customFormat="false" ht="15" hidden="false" customHeight="false" outlineLevel="0" collapsed="false">
      <c r="B44" s="10"/>
      <c r="C44" s="10"/>
      <c r="D44" s="9" t="n">
        <v>4</v>
      </c>
      <c r="E44" s="10" t="n">
        <v>0.8</v>
      </c>
      <c r="F44" s="10" t="n">
        <v>2.6</v>
      </c>
      <c r="T44" s="16" t="n">
        <f aca="false">T38^2</f>
        <v>2.44056803941123E-005</v>
      </c>
    </row>
    <row r="45" customFormat="false" ht="15" hidden="false" customHeight="false" outlineLevel="0" collapsed="false">
      <c r="B45" s="10"/>
      <c r="C45" s="10"/>
      <c r="D45" s="9" t="n">
        <v>5</v>
      </c>
      <c r="E45" s="10" t="n">
        <v>0.8</v>
      </c>
      <c r="F45" s="10" t="n">
        <v>2.6</v>
      </c>
      <c r="T45" s="16" t="n">
        <f aca="false">T39^2</f>
        <v>0.000469471051385708</v>
      </c>
    </row>
    <row r="46" customFormat="false" ht="15" hidden="false" customHeight="false" outlineLevel="0" collapsed="false">
      <c r="T46" s="16" t="n">
        <f aca="false">T40^2</f>
        <v>2.48414887206523E-006</v>
      </c>
    </row>
    <row r="48" customFormat="false" ht="15" hidden="false" customHeight="false" outlineLevel="0" collapsed="false">
      <c r="B48" s="2" t="s">
        <v>68</v>
      </c>
      <c r="C48" s="2"/>
      <c r="D48" s="2"/>
      <c r="E48" s="2"/>
      <c r="F48" s="2"/>
    </row>
    <row r="49" customFormat="false" ht="15" hidden="false" customHeight="false" outlineLevel="0" collapsed="false">
      <c r="B49" s="9" t="s">
        <v>25</v>
      </c>
      <c r="C49" s="9" t="s">
        <v>26</v>
      </c>
      <c r="D49" s="9" t="s">
        <v>27</v>
      </c>
      <c r="E49" s="9" t="s">
        <v>28</v>
      </c>
      <c r="F49" s="9" t="s">
        <v>29</v>
      </c>
    </row>
    <row r="50" customFormat="false" ht="15" hidden="false" customHeight="false" outlineLevel="0" collapsed="false">
      <c r="B50" s="10" t="n">
        <v>216</v>
      </c>
      <c r="C50" s="10" t="n">
        <v>184</v>
      </c>
      <c r="D50" s="9" t="n">
        <v>1</v>
      </c>
      <c r="E50" s="10" t="n">
        <v>0.6</v>
      </c>
      <c r="F50" s="10" t="n">
        <v>2.2</v>
      </c>
    </row>
    <row r="51" customFormat="false" ht="15" hidden="false" customHeight="false" outlineLevel="0" collapsed="false">
      <c r="B51" s="10"/>
      <c r="C51" s="10"/>
      <c r="D51" s="9" t="n">
        <v>2</v>
      </c>
      <c r="E51" s="10" t="n">
        <v>0.6</v>
      </c>
      <c r="F51" s="10" t="n">
        <v>2.2</v>
      </c>
    </row>
    <row r="52" customFormat="false" ht="15" hidden="false" customHeight="false" outlineLevel="0" collapsed="false">
      <c r="B52" s="10"/>
      <c r="C52" s="10"/>
      <c r="D52" s="9" t="n">
        <v>3</v>
      </c>
      <c r="E52" s="10" t="n">
        <v>0.6</v>
      </c>
      <c r="F52" s="10" t="n">
        <v>2.2</v>
      </c>
    </row>
    <row r="53" customFormat="false" ht="15" hidden="false" customHeight="false" outlineLevel="0" collapsed="false">
      <c r="B53" s="10"/>
      <c r="C53" s="10"/>
      <c r="D53" s="9" t="n">
        <v>4</v>
      </c>
      <c r="E53" s="10" t="n">
        <v>0.6</v>
      </c>
      <c r="F53" s="10" t="n">
        <v>2.2</v>
      </c>
    </row>
    <row r="54" customFormat="false" ht="15" hidden="false" customHeight="false" outlineLevel="0" collapsed="false">
      <c r="B54" s="10"/>
      <c r="C54" s="10"/>
      <c r="D54" s="9" t="n">
        <v>5</v>
      </c>
      <c r="E54" s="10" t="n">
        <v>0.7</v>
      </c>
      <c r="F54" s="10" t="n">
        <v>2.2</v>
      </c>
    </row>
    <row r="57" customFormat="false" ht="15" hidden="false" customHeight="false" outlineLevel="0" collapsed="false">
      <c r="B57" s="2" t="s">
        <v>69</v>
      </c>
      <c r="C57" s="2"/>
      <c r="D57" s="2"/>
      <c r="E57" s="2"/>
      <c r="F57" s="2"/>
    </row>
    <row r="58" customFormat="false" ht="15" hidden="false" customHeight="false" outlineLevel="0" collapsed="false">
      <c r="B58" s="9" t="s">
        <v>25</v>
      </c>
      <c r="C58" s="9" t="s">
        <v>26</v>
      </c>
      <c r="D58" s="9" t="s">
        <v>27</v>
      </c>
      <c r="E58" s="9" t="s">
        <v>28</v>
      </c>
      <c r="F58" s="9" t="s">
        <v>29</v>
      </c>
    </row>
    <row r="59" customFormat="false" ht="15" hidden="false" customHeight="false" outlineLevel="0" collapsed="false">
      <c r="B59" s="10" t="n">
        <v>226</v>
      </c>
      <c r="C59" s="10" t="n">
        <v>184</v>
      </c>
      <c r="D59" s="9" t="n">
        <v>1</v>
      </c>
      <c r="E59" s="10" t="n">
        <v>0.6</v>
      </c>
      <c r="F59" s="10" t="n">
        <v>2</v>
      </c>
    </row>
    <row r="60" customFormat="false" ht="15" hidden="false" customHeight="false" outlineLevel="0" collapsed="false">
      <c r="B60" s="10"/>
      <c r="C60" s="10"/>
      <c r="D60" s="9" t="n">
        <v>2</v>
      </c>
      <c r="E60" s="10" t="n">
        <v>0.5</v>
      </c>
      <c r="F60" s="10" t="n">
        <v>2</v>
      </c>
    </row>
    <row r="61" customFormat="false" ht="15" hidden="false" customHeight="false" outlineLevel="0" collapsed="false">
      <c r="B61" s="10"/>
      <c r="C61" s="10"/>
      <c r="D61" s="9" t="n">
        <v>3</v>
      </c>
      <c r="E61" s="10" t="n">
        <v>0.6</v>
      </c>
      <c r="F61" s="10" t="n">
        <v>2</v>
      </c>
    </row>
    <row r="62" customFormat="false" ht="15" hidden="false" customHeight="false" outlineLevel="0" collapsed="false">
      <c r="B62" s="10"/>
      <c r="C62" s="10"/>
      <c r="D62" s="9" t="n">
        <v>4</v>
      </c>
      <c r="E62" s="10" t="n">
        <v>0.6</v>
      </c>
      <c r="F62" s="10" t="n">
        <v>2</v>
      </c>
    </row>
    <row r="63" customFormat="false" ht="15" hidden="false" customHeight="false" outlineLevel="0" collapsed="false">
      <c r="B63" s="10"/>
      <c r="C63" s="10"/>
      <c r="D63" s="9" t="n">
        <v>5</v>
      </c>
      <c r="E63" s="10" t="n">
        <v>0.6</v>
      </c>
      <c r="F63" s="10" t="n">
        <v>2</v>
      </c>
    </row>
  </sheetData>
  <mergeCells count="23">
    <mergeCell ref="3:3"/>
    <mergeCell ref="B5:E5"/>
    <mergeCell ref="G5:H5"/>
    <mergeCell ref="B9:H9"/>
    <mergeCell ref="B10:B11"/>
    <mergeCell ref="C10:F10"/>
    <mergeCell ref="G10:H10"/>
    <mergeCell ref="19:19"/>
    <mergeCell ref="B21:F21"/>
    <mergeCell ref="B23:B27"/>
    <mergeCell ref="C23:C27"/>
    <mergeCell ref="B30:F30"/>
    <mergeCell ref="B32:B36"/>
    <mergeCell ref="C32:C36"/>
    <mergeCell ref="B39:F39"/>
    <mergeCell ref="B41:B45"/>
    <mergeCell ref="C41:C45"/>
    <mergeCell ref="B48:F48"/>
    <mergeCell ref="B50:B54"/>
    <mergeCell ref="C50:C54"/>
    <mergeCell ref="B57:F57"/>
    <mergeCell ref="B59:B63"/>
    <mergeCell ref="C59:C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xr2:uid="{00000000-0000-0000-0000-000000000000}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2017-04-12T15:00:28Z</dcterms:created>
  <dc:creator/>
  <dc:description/>
  <dc:language>ru-RU</dc:language>
  <cp:lastModifiedBy/>
  <dcterms:modified xsi:type="dcterms:W3CDTF">2025-10-02T14:17:06Z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