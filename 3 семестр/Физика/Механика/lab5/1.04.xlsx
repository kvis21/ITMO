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8.xml.rels" ContentType="application/vnd.openxmlformats-package.relationships+xml"/>
  <Override PartName="/xl/worksheets/_rels/sheet10.xml.rels" ContentType="application/vnd.openxmlformats-package.relationships+xml"/>
  <Override PartName="/xl/worksheets/_rels/sheet11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1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2" activeTab="3"/>
  </bookViews>
  <sheets>
    <sheet name="Погрешности косвенные (Шаблон)" sheetId="1" state="hidden" r:id="rId3"/>
    <sheet name="МНК (Шаблон)" sheetId="2" state="hidden" r:id="rId4"/>
    <sheet name="предисловие" sheetId="3" state="visible" r:id="rId5"/>
    <sheet name="Таблица 1" sheetId="4" state="visible" r:id="rId6"/>
    <sheet name="Таблица 2" sheetId="5" state="visible" r:id="rId7"/>
    <sheet name="Таблица 3" sheetId="6" state="visible" r:id="rId8"/>
    <sheet name="График 1" sheetId="7" state="visible" r:id="rId9"/>
    <sheet name="График 2" sheetId="8" state="visible" r:id="rId10"/>
    <sheet name="Печать 1" sheetId="9" state="visible" r:id="rId11"/>
    <sheet name="Печать 2" sheetId="10" state="visible" r:id="rId12"/>
    <sheet name="Печать 3" sheetId="11" state="visible" r:id="rId13"/>
    <sheet name="Параметры установки" sheetId="12" state="visible" r:id="rId14"/>
    <sheet name="Погрешности прямые (t)" sheetId="13" state="visible" r:id="rId15"/>
    <sheet name="Погрешности прямые (a)" sheetId="14" state="visible" r:id="rId16"/>
    <sheet name="Погрешности косвенные (a)" sheetId="15" state="visible" r:id="rId17"/>
    <sheet name="Погрешности прямые (e)" sheetId="16" state="visible" r:id="rId18"/>
    <sheet name="Погрешности косвенные (e)" sheetId="17" state="visible" r:id="rId19"/>
    <sheet name="Погрешности прямые (M)" sheetId="18" state="visible" r:id="rId20"/>
    <sheet name="Погрешности косвенные (M)" sheetId="19" state="visible" r:id="rId21"/>
    <sheet name="МНК рис.1" sheetId="20" state="visible" r:id="rId22"/>
    <sheet name="МНК рис.2" sheetId="21" state="visible" r:id="rId23"/>
    <sheet name="МНК рис.3" sheetId="22" state="visible" r:id="rId24"/>
    <sheet name="МНК рис.4" sheetId="23" state="visible" r:id="rId25"/>
    <sheet name="МНК рис.5" sheetId="24" state="visible" r:id="rId26"/>
    <sheet name="МНК рис.6" sheetId="25" state="visible" r:id="rId27"/>
    <sheet name="МНК I" sheetId="26" state="visible" r:id="rId2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<sst xmlns="http://schemas.openxmlformats.org/spreadsheetml/2006/main" count="304" uniqueCount="77">
  <si>
    <t xml:space="preserve">Название переменной</t>
  </si>
  <si>
    <t xml:space="preserve">Формулы частных производных по переменным:</t>
  </si>
  <si>
    <t xml:space="preserve">Среднее значение переменной</t>
  </si>
  <si>
    <t xml:space="preserve">Среднее значение функции</t>
  </si>
  <si>
    <t xml:space="preserve">Абсолютные погрешности переменных</t>
  </si>
  <si>
    <t xml:space="preserve">Относительные погрешности переменных</t>
  </si>
  <si>
    <t xml:space="preserve">Слагаемые</t>
  </si>
  <si>
    <t xml:space="preserve">Абсолютная погрешность функции</t>
  </si>
  <si>
    <t xml:space="preserve">Относительные погрешности функции</t>
  </si>
  <si>
    <t xml:space="preserve">x</t>
  </si>
  <si>
    <t xml:space="preserve">y</t>
  </si>
  <si>
    <r>
      <rPr>
        <sz val="11"/>
        <color theme="1"/>
        <rFont val="Calibri"/>
        <family val="2"/>
        <charset val="1"/>
      </rPr>
      <t xml:space="preserve">Квадрат разности (x-x</t>
    </r>
    <r>
      <rPr>
        <vertAlign val="subscript"/>
        <sz val="11"/>
        <color theme="1"/>
        <rFont val="Calibri"/>
        <family val="2"/>
        <charset val="204"/>
      </rPr>
      <t xml:space="preserve">ср</t>
    </r>
    <r>
      <rPr>
        <sz val="11"/>
        <color theme="1"/>
        <rFont val="Calibri"/>
        <family val="2"/>
        <charset val="1"/>
      </rPr>
      <t xml:space="preserve">)</t>
    </r>
    <r>
      <rPr>
        <vertAlign val="superscript"/>
        <sz val="11"/>
        <color theme="1"/>
        <rFont val="Calibri"/>
        <family val="2"/>
        <charset val="204"/>
      </rPr>
      <t xml:space="preserve">2</t>
    </r>
  </si>
  <si>
    <r>
      <rPr>
        <sz val="11"/>
        <color theme="1"/>
        <rFont val="Calibri"/>
        <family val="2"/>
        <charset val="1"/>
      </rPr>
      <t xml:space="preserve">Квадрат разности (y-y</t>
    </r>
    <r>
      <rPr>
        <vertAlign val="subscript"/>
        <sz val="11"/>
        <color theme="1"/>
        <rFont val="Calibri"/>
        <family val="2"/>
        <charset val="204"/>
      </rPr>
      <t xml:space="preserve">ср</t>
    </r>
    <r>
      <rPr>
        <sz val="11"/>
        <color theme="1"/>
        <rFont val="Calibri"/>
        <family val="2"/>
        <charset val="1"/>
      </rPr>
      <t xml:space="preserve">)</t>
    </r>
    <r>
      <rPr>
        <vertAlign val="superscript"/>
        <sz val="11"/>
        <color theme="1"/>
        <rFont val="Calibri"/>
        <family val="2"/>
        <charset val="204"/>
      </rPr>
      <t xml:space="preserve">2</t>
    </r>
  </si>
  <si>
    <r>
      <rPr>
        <sz val="11"/>
        <color theme="1"/>
        <rFont val="Calibri"/>
        <family val="2"/>
        <charset val="1"/>
      </rPr>
      <t xml:space="preserve">Разность    x-x</t>
    </r>
    <r>
      <rPr>
        <vertAlign val="subscript"/>
        <sz val="11"/>
        <color theme="1"/>
        <rFont val="Calibri"/>
        <family val="2"/>
        <charset val="204"/>
      </rPr>
      <t xml:space="preserve">ср</t>
    </r>
  </si>
  <si>
    <r>
      <rPr>
        <sz val="11"/>
        <color theme="1"/>
        <rFont val="Calibri"/>
        <family val="2"/>
        <charset val="1"/>
      </rPr>
      <t xml:space="preserve">Разность    y-y</t>
    </r>
    <r>
      <rPr>
        <vertAlign val="subscript"/>
        <sz val="11"/>
        <color theme="1"/>
        <rFont val="Calibri"/>
        <family val="2"/>
        <charset val="204"/>
      </rPr>
      <t xml:space="preserve">ср</t>
    </r>
  </si>
  <si>
    <r>
      <rPr>
        <sz val="11"/>
        <color theme="1"/>
        <rFont val="Calibri"/>
        <family val="2"/>
        <charset val="1"/>
      </rPr>
      <t xml:space="preserve">Произведение        (x-x</t>
    </r>
    <r>
      <rPr>
        <vertAlign val="subscript"/>
        <sz val="11"/>
        <color theme="1"/>
        <rFont val="Calibri"/>
        <family val="2"/>
        <charset val="204"/>
      </rPr>
      <t xml:space="preserve">ср</t>
    </r>
    <r>
      <rPr>
        <sz val="11"/>
        <color theme="1"/>
        <rFont val="Calibri"/>
        <family val="2"/>
        <charset val="1"/>
      </rPr>
      <t xml:space="preserve">)(y-y</t>
    </r>
    <r>
      <rPr>
        <vertAlign val="subscript"/>
        <sz val="11"/>
        <color theme="1"/>
        <rFont val="Calibri"/>
        <family val="2"/>
        <charset val="204"/>
      </rPr>
      <t xml:space="preserve">ср</t>
    </r>
    <r>
      <rPr>
        <sz val="11"/>
        <color theme="1"/>
        <rFont val="Calibri"/>
        <family val="2"/>
        <charset val="1"/>
      </rPr>
      <t xml:space="preserve">)</t>
    </r>
  </si>
  <si>
    <t xml:space="preserve">d</t>
  </si>
  <si>
    <r>
      <rPr>
        <sz val="11"/>
        <color theme="1"/>
        <rFont val="Calibri"/>
        <family val="2"/>
        <charset val="1"/>
      </rPr>
      <t xml:space="preserve">d</t>
    </r>
    <r>
      <rPr>
        <vertAlign val="superscript"/>
        <sz val="11"/>
        <color theme="1"/>
        <rFont val="Calibri"/>
        <family val="2"/>
        <charset val="204"/>
      </rPr>
      <t xml:space="preserve">2</t>
    </r>
  </si>
  <si>
    <r>
      <rPr>
        <sz val="11"/>
        <color theme="1"/>
        <rFont val="Calibri"/>
        <family val="2"/>
        <charset val="204"/>
      </rPr>
      <t xml:space="preserve">Δ</t>
    </r>
    <r>
      <rPr>
        <vertAlign val="subscript"/>
        <sz val="11"/>
        <color theme="1"/>
        <rFont val="Calibri"/>
        <family val="2"/>
        <charset val="204"/>
      </rPr>
      <t xml:space="preserve">y</t>
    </r>
  </si>
  <si>
    <r>
      <rPr>
        <sz val="11"/>
        <color theme="1"/>
        <rFont val="Calibri"/>
        <family val="2"/>
        <charset val="1"/>
      </rPr>
      <t xml:space="preserve">Среднее x</t>
    </r>
    <r>
      <rPr>
        <vertAlign val="subscript"/>
        <sz val="11"/>
        <color theme="1"/>
        <rFont val="Calibri"/>
        <family val="2"/>
        <charset val="204"/>
      </rPr>
      <t xml:space="preserve">ср</t>
    </r>
  </si>
  <si>
    <r>
      <rPr>
        <sz val="11"/>
        <color theme="1"/>
        <rFont val="Calibri"/>
        <family val="2"/>
        <charset val="1"/>
      </rPr>
      <t xml:space="preserve">Среднее y</t>
    </r>
    <r>
      <rPr>
        <vertAlign val="subscript"/>
        <sz val="11"/>
        <color theme="1"/>
        <rFont val="Calibri"/>
        <family val="2"/>
        <charset val="204"/>
      </rPr>
      <t xml:space="preserve">ср</t>
    </r>
  </si>
  <si>
    <t xml:space="preserve">b</t>
  </si>
  <si>
    <t xml:space="preserve">a</t>
  </si>
  <si>
    <t xml:space="preserve">D</t>
  </si>
  <si>
    <r>
      <rPr>
        <sz val="11"/>
        <color theme="1"/>
        <rFont val="Calibri"/>
        <family val="2"/>
        <charset val="1"/>
      </rPr>
      <t xml:space="preserve">S</t>
    </r>
    <r>
      <rPr>
        <vertAlign val="subscript"/>
        <sz val="11"/>
        <color theme="1"/>
        <rFont val="Calibri"/>
        <family val="2"/>
        <charset val="204"/>
      </rPr>
      <t xml:space="preserve">b</t>
    </r>
    <r>
      <rPr>
        <vertAlign val="superscript"/>
        <sz val="11"/>
        <color theme="1"/>
        <rFont val="Calibri"/>
        <family val="2"/>
        <charset val="204"/>
      </rPr>
      <t xml:space="preserve">2</t>
    </r>
  </si>
  <si>
    <r>
      <rPr>
        <sz val="11"/>
        <color theme="1"/>
        <rFont val="Calibri"/>
        <family val="2"/>
        <charset val="1"/>
      </rPr>
      <t xml:space="preserve">S</t>
    </r>
    <r>
      <rPr>
        <vertAlign val="subscript"/>
        <sz val="11"/>
        <color theme="1"/>
        <rFont val="Calibri"/>
        <family val="2"/>
        <charset val="204"/>
      </rPr>
      <t xml:space="preserve">a</t>
    </r>
    <r>
      <rPr>
        <vertAlign val="superscript"/>
        <sz val="11"/>
        <color theme="1"/>
        <rFont val="Calibri"/>
        <family val="2"/>
        <charset val="204"/>
      </rPr>
      <t xml:space="preserve">2</t>
    </r>
  </si>
  <si>
    <r>
      <rPr>
        <sz val="11"/>
        <color theme="1"/>
        <rFont val="Calibri"/>
        <family val="2"/>
        <charset val="1"/>
      </rPr>
      <t xml:space="preserve">S</t>
    </r>
    <r>
      <rPr>
        <vertAlign val="subscript"/>
        <sz val="11"/>
        <color theme="1"/>
        <rFont val="Calibri"/>
        <family val="2"/>
        <charset val="204"/>
      </rPr>
      <t xml:space="preserve">b</t>
    </r>
  </si>
  <si>
    <r>
      <rPr>
        <sz val="11"/>
        <color theme="1"/>
        <rFont val="Calibri"/>
        <family val="2"/>
        <charset val="1"/>
      </rPr>
      <t xml:space="preserve">S</t>
    </r>
    <r>
      <rPr>
        <vertAlign val="subscript"/>
        <sz val="11"/>
        <color theme="1"/>
        <rFont val="Calibri"/>
        <family val="2"/>
        <charset val="204"/>
      </rPr>
      <t xml:space="preserve">a</t>
    </r>
  </si>
  <si>
    <r>
      <rPr>
        <sz val="11"/>
        <color theme="1"/>
        <rFont val="Calibri"/>
        <family val="2"/>
        <charset val="1"/>
      </rPr>
      <t xml:space="preserve">2S</t>
    </r>
    <r>
      <rPr>
        <vertAlign val="subscript"/>
        <sz val="11"/>
        <color theme="1"/>
        <rFont val="Calibri"/>
        <family val="2"/>
        <charset val="204"/>
      </rPr>
      <t xml:space="preserve">b</t>
    </r>
    <r>
      <rPr>
        <sz val="11"/>
        <color theme="1"/>
        <rFont val="Calibri"/>
        <family val="2"/>
        <charset val="1"/>
      </rPr>
      <t xml:space="preserve"> = </t>
    </r>
    <r>
      <rPr>
        <sz val="11"/>
        <color theme="1"/>
        <rFont val="Calibri"/>
        <family val="2"/>
        <charset val="204"/>
      </rPr>
      <t xml:space="preserve">Δ</t>
    </r>
    <r>
      <rPr>
        <vertAlign val="subscript"/>
        <sz val="11"/>
        <color theme="1"/>
        <rFont val="Calibri"/>
        <family val="2"/>
        <charset val="204"/>
      </rPr>
      <t xml:space="preserve">b</t>
    </r>
  </si>
  <si>
    <r>
      <rPr>
        <sz val="11"/>
        <color theme="1"/>
        <rFont val="Calibri"/>
        <family val="2"/>
        <charset val="1"/>
      </rPr>
      <t xml:space="preserve">2S</t>
    </r>
    <r>
      <rPr>
        <vertAlign val="subscript"/>
        <sz val="11"/>
        <color theme="1"/>
        <rFont val="Calibri"/>
        <family val="2"/>
        <charset val="204"/>
      </rPr>
      <t xml:space="preserve">a</t>
    </r>
    <r>
      <rPr>
        <sz val="11"/>
        <color theme="1"/>
        <rFont val="Calibri"/>
        <family val="2"/>
        <charset val="1"/>
      </rPr>
      <t xml:space="preserve"> = </t>
    </r>
    <r>
      <rPr>
        <sz val="11"/>
        <color theme="1"/>
        <rFont val="Calibri"/>
        <family val="2"/>
        <charset val="204"/>
      </rPr>
      <t xml:space="preserve">Δ</t>
    </r>
    <r>
      <rPr>
        <vertAlign val="subscript"/>
        <sz val="11"/>
        <color theme="1"/>
        <rFont val="Calibri"/>
        <family val="2"/>
        <charset val="204"/>
      </rPr>
      <t xml:space="preserve">a</t>
    </r>
  </si>
  <si>
    <t xml:space="preserve">Берете замеры, вставляете в таблицу 1 среднее время и прочие вещи, которые надо считать, появятся сами</t>
  </si>
  <si>
    <t xml:space="preserve">Все погрешности и графики основаны на первой таблице и параметрах установки</t>
  </si>
  <si>
    <t xml:space="preserve">На листы печать внимание оформлять не нужно, это сделано для проверки наличия всех графиков и таблиц после подсчета</t>
  </si>
  <si>
    <t xml:space="preserve">Далее таблицы вырезаем ножницами и вставляем в отчет (можно и копировать, но ножницы как по мне лучше)</t>
  </si>
  <si>
    <t xml:space="preserve">Радуемся сделанной лабе!</t>
  </si>
  <si>
    <t xml:space="preserve">Масса груза, г</t>
  </si>
  <si>
    <t xml:space="preserve">Положение утяжелителей</t>
  </si>
  <si>
    <t xml:space="preserve">1.риска</t>
  </si>
  <si>
    <t xml:space="preserve">2.риска</t>
  </si>
  <si>
    <t xml:space="preserve">3.риска</t>
  </si>
  <si>
    <t xml:space="preserve">4.риска</t>
  </si>
  <si>
    <t xml:space="preserve">5.риска</t>
  </si>
  <si>
    <t xml:space="preserve">6.риска</t>
  </si>
  <si>
    <r>
      <rPr>
        <sz val="11"/>
        <color theme="1"/>
        <rFont val="Calibri"/>
        <family val="2"/>
        <charset val="1"/>
      </rPr>
      <t xml:space="preserve">t</t>
    </r>
    <r>
      <rPr>
        <vertAlign val="subscript"/>
        <sz val="11"/>
        <color theme="1"/>
        <rFont val="Calibri"/>
        <family val="2"/>
        <charset val="204"/>
      </rPr>
      <t xml:space="preserve">ср</t>
    </r>
    <r>
      <rPr>
        <sz val="11"/>
        <color theme="1"/>
        <rFont val="Calibri"/>
        <family val="2"/>
        <charset val="204"/>
      </rPr>
      <t xml:space="preserve">, с</t>
    </r>
  </si>
  <si>
    <r>
      <rPr>
        <sz val="11"/>
        <color theme="1"/>
        <rFont val="Calibri"/>
        <family val="2"/>
        <charset val="204"/>
      </rPr>
      <t xml:space="preserve">a, м/с</t>
    </r>
    <r>
      <rPr>
        <vertAlign val="superscript"/>
        <sz val="11"/>
        <color theme="1"/>
        <rFont val="Calibri"/>
        <family val="2"/>
        <charset val="204"/>
      </rPr>
      <t xml:space="preserve">2</t>
    </r>
  </si>
  <si>
    <r>
      <rPr>
        <sz val="11"/>
        <color theme="1"/>
        <rFont val="Calibri"/>
        <family val="2"/>
        <charset val="204"/>
      </rPr>
      <t xml:space="preserve">ε, с</t>
    </r>
    <r>
      <rPr>
        <vertAlign val="superscript"/>
        <sz val="11"/>
        <color theme="1"/>
        <rFont val="Calibri"/>
        <family val="2"/>
        <charset val="204"/>
      </rPr>
      <t xml:space="preserve">-2</t>
    </r>
  </si>
  <si>
    <t xml:space="preserve">M, Н*м</t>
  </si>
  <si>
    <t xml:space="preserve">Номера рисок</t>
  </si>
  <si>
    <t xml:space="preserve">R</t>
  </si>
  <si>
    <r>
      <rPr>
        <sz val="11"/>
        <color theme="1"/>
        <rFont val="Calibri"/>
        <family val="2"/>
        <charset val="1"/>
      </rPr>
      <t xml:space="preserve">R</t>
    </r>
    <r>
      <rPr>
        <vertAlign val="superscript"/>
        <sz val="11"/>
        <color theme="1"/>
        <rFont val="Calibri"/>
        <family val="2"/>
        <charset val="204"/>
      </rPr>
      <t xml:space="preserve">2</t>
    </r>
  </si>
  <si>
    <t xml:space="preserve">I</t>
  </si>
  <si>
    <t xml:space="preserve">Таблица 1. Протокол измерений времени падения груза при разной массе груза и разном положении утяжелителей на крестовине</t>
  </si>
  <si>
    <t xml:space="preserve">Масса груза, кг</t>
  </si>
  <si>
    <t xml:space="preserve">Таблица 2. Значения ускорения каретки, углового ускорения крестовины и момента силы натяжения нити для средних значений времени</t>
  </si>
  <si>
    <r>
      <rPr>
        <sz val="10"/>
        <color theme="1"/>
        <rFont val="Calibri"/>
        <family val="2"/>
        <charset val="1"/>
      </rPr>
      <t xml:space="preserve">t</t>
    </r>
    <r>
      <rPr>
        <vertAlign val="subscript"/>
        <sz val="10"/>
        <color theme="1"/>
        <rFont val="Calibri"/>
        <family val="2"/>
        <charset val="1"/>
      </rPr>
      <t xml:space="preserve">ср</t>
    </r>
    <r>
      <rPr>
        <sz val="10"/>
        <color theme="1"/>
        <rFont val="Calibri"/>
        <family val="2"/>
        <charset val="1"/>
      </rPr>
      <t xml:space="preserve">, с</t>
    </r>
  </si>
  <si>
    <r>
      <rPr>
        <sz val="10"/>
        <color theme="1"/>
        <rFont val="Calibri"/>
        <family val="2"/>
        <charset val="1"/>
      </rPr>
      <t xml:space="preserve">a, м/с</t>
    </r>
    <r>
      <rPr>
        <vertAlign val="superscript"/>
        <sz val="10"/>
        <color theme="1"/>
        <rFont val="Calibri"/>
        <family val="2"/>
        <charset val="1"/>
      </rPr>
      <t xml:space="preserve">2</t>
    </r>
  </si>
  <si>
    <r>
      <rPr>
        <sz val="10"/>
        <color theme="1"/>
        <rFont val="Calibri"/>
        <family val="2"/>
        <charset val="1"/>
      </rPr>
      <t xml:space="preserve">ε, с</t>
    </r>
    <r>
      <rPr>
        <vertAlign val="superscript"/>
        <sz val="10"/>
        <color theme="1"/>
        <rFont val="Calibri"/>
        <family val="2"/>
        <charset val="1"/>
      </rPr>
      <t xml:space="preserve">-2</t>
    </r>
  </si>
  <si>
    <t xml:space="preserve">Таблица 3. Значения момента инерции для утяжелителей в разных положениях</t>
  </si>
  <si>
    <t xml:space="preserve">R, м</t>
  </si>
  <si>
    <r>
      <rPr>
        <sz val="10"/>
        <color theme="1"/>
        <rFont val="Calibri"/>
        <family val="2"/>
        <charset val="1"/>
      </rPr>
      <t xml:space="preserve">R</t>
    </r>
    <r>
      <rPr>
        <vertAlign val="superscript"/>
        <sz val="10"/>
        <color theme="1"/>
        <rFont val="Calibri"/>
        <family val="2"/>
        <charset val="1"/>
      </rPr>
      <t xml:space="preserve">2</t>
    </r>
    <r>
      <rPr>
        <sz val="10"/>
        <color theme="1"/>
        <rFont val="Calibri"/>
        <family val="2"/>
        <charset val="1"/>
      </rPr>
      <t xml:space="preserve">, м</t>
    </r>
  </si>
  <si>
    <r>
      <rPr>
        <sz val="10"/>
        <color theme="1"/>
        <rFont val="Calibri"/>
        <family val="2"/>
        <charset val="1"/>
      </rPr>
      <t xml:space="preserve">I, кг*м</t>
    </r>
    <r>
      <rPr>
        <vertAlign val="superscript"/>
        <sz val="10"/>
        <color theme="1"/>
        <rFont val="Calibri"/>
        <family val="2"/>
        <charset val="1"/>
      </rPr>
      <t xml:space="preserve">2</t>
    </r>
  </si>
  <si>
    <t xml:space="preserve">h</t>
  </si>
  <si>
    <r>
      <rPr>
        <sz val="11"/>
        <color theme="1"/>
        <rFont val="Calibri"/>
        <family val="2"/>
        <charset val="1"/>
      </rPr>
      <t xml:space="preserve">l</t>
    </r>
    <r>
      <rPr>
        <vertAlign val="subscript"/>
        <sz val="11"/>
        <color theme="1"/>
        <rFont val="Calibri"/>
        <family val="2"/>
        <charset val="204"/>
      </rPr>
      <t xml:space="preserve">1</t>
    </r>
  </si>
  <si>
    <r>
      <rPr>
        <sz val="11"/>
        <color theme="1"/>
        <rFont val="Calibri"/>
        <family val="2"/>
        <charset val="1"/>
      </rPr>
      <t xml:space="preserve">l</t>
    </r>
    <r>
      <rPr>
        <vertAlign val="subscript"/>
        <sz val="11"/>
        <color theme="1"/>
        <rFont val="Calibri"/>
        <family val="2"/>
        <charset val="204"/>
      </rPr>
      <t xml:space="preserve">0</t>
    </r>
  </si>
  <si>
    <t xml:space="preserve">Значения x</t>
  </si>
  <si>
    <r>
      <rPr>
        <sz val="11"/>
        <color theme="1"/>
        <rFont val="Calibri"/>
        <family val="2"/>
        <charset val="1"/>
      </rPr>
      <t xml:space="preserve">Квадрат разности (x-</t>
    </r>
    <r>
      <rPr>
        <sz val="11"/>
        <color theme="1"/>
        <rFont val="Calibri"/>
        <family val="2"/>
        <charset val="204"/>
      </rPr>
      <t xml:space="preserve">x</t>
    </r>
    <r>
      <rPr>
        <vertAlign val="subscript"/>
        <sz val="11"/>
        <color theme="1"/>
        <rFont val="Calibri"/>
        <family val="2"/>
        <charset val="204"/>
      </rPr>
      <t xml:space="preserve">ср</t>
    </r>
    <r>
      <rPr>
        <sz val="11"/>
        <color theme="1"/>
        <rFont val="Calibri"/>
        <family val="2"/>
        <charset val="204"/>
      </rPr>
      <t xml:space="preserve">)</t>
    </r>
    <r>
      <rPr>
        <vertAlign val="superscript"/>
        <sz val="11"/>
        <color theme="1"/>
        <rFont val="Calibri"/>
        <family val="2"/>
        <charset val="204"/>
      </rPr>
      <t xml:space="preserve">2</t>
    </r>
  </si>
  <si>
    <r>
      <rPr>
        <sz val="11"/>
        <color theme="1"/>
        <rFont val="Calibri"/>
        <family val="2"/>
        <charset val="1"/>
      </rPr>
      <t xml:space="preserve">СКО      S</t>
    </r>
    <r>
      <rPr>
        <vertAlign val="subscript"/>
        <sz val="11"/>
        <color theme="1"/>
        <rFont val="Calibri"/>
        <family val="2"/>
        <charset val="204"/>
      </rPr>
      <t xml:space="preserve">xср</t>
    </r>
  </si>
  <si>
    <r>
      <rPr>
        <sz val="11"/>
        <color theme="1"/>
        <rFont val="Calibri"/>
        <family val="2"/>
        <charset val="1"/>
      </rPr>
      <t xml:space="preserve">Коэфф. Стьюдента  t</t>
    </r>
    <r>
      <rPr>
        <vertAlign val="subscript"/>
        <sz val="11"/>
        <color theme="1"/>
        <rFont val="Calibri"/>
        <family val="2"/>
        <charset val="204"/>
      </rPr>
      <t xml:space="preserve">α,n</t>
    </r>
  </si>
  <si>
    <r>
      <rPr>
        <sz val="11"/>
        <color theme="1"/>
        <rFont val="Calibri"/>
        <family val="2"/>
        <charset val="1"/>
      </rPr>
      <t xml:space="preserve">Доверительный интервал                  </t>
    </r>
    <r>
      <rPr>
        <sz val="11"/>
        <color theme="1"/>
        <rFont val="Calibri"/>
        <family val="2"/>
        <charset val="204"/>
      </rPr>
      <t xml:space="preserve">Δ</t>
    </r>
    <r>
      <rPr>
        <vertAlign val="subscript"/>
        <sz val="11"/>
        <color theme="1"/>
        <rFont val="Calibri"/>
        <family val="2"/>
        <charset val="204"/>
      </rPr>
      <t xml:space="preserve">xср</t>
    </r>
  </si>
  <si>
    <r>
      <rPr>
        <sz val="11"/>
        <color theme="1"/>
        <rFont val="Calibri"/>
        <family val="2"/>
        <charset val="1"/>
      </rPr>
      <t xml:space="preserve">Инструментальная погрешность           </t>
    </r>
    <r>
      <rPr>
        <sz val="11"/>
        <color theme="1"/>
        <rFont val="Calibri"/>
        <family val="2"/>
        <charset val="204"/>
      </rPr>
      <t xml:space="preserve">Δ</t>
    </r>
    <r>
      <rPr>
        <vertAlign val="subscript"/>
        <sz val="11"/>
        <color theme="1"/>
        <rFont val="Calibri"/>
        <family val="2"/>
        <charset val="204"/>
      </rPr>
      <t xml:space="preserve">иx</t>
    </r>
  </si>
  <si>
    <r>
      <rPr>
        <sz val="11"/>
        <color theme="1"/>
        <rFont val="Calibri"/>
        <family val="2"/>
        <charset val="1"/>
      </rPr>
      <t xml:space="preserve">Абсолютная погрешность                 </t>
    </r>
    <r>
      <rPr>
        <sz val="11"/>
        <color theme="1"/>
        <rFont val="Calibri"/>
        <family val="2"/>
        <charset val="204"/>
      </rPr>
      <t xml:space="preserve">Δ</t>
    </r>
    <r>
      <rPr>
        <vertAlign val="subscript"/>
        <sz val="11"/>
        <color theme="1"/>
        <rFont val="Calibri"/>
        <family val="2"/>
        <charset val="204"/>
      </rPr>
      <t xml:space="preserve">x</t>
    </r>
  </si>
  <si>
    <r>
      <rPr>
        <sz val="11"/>
        <color theme="1"/>
        <rFont val="Calibri"/>
        <family val="2"/>
        <charset val="1"/>
      </rPr>
      <t xml:space="preserve">Относительная погрешность           </t>
    </r>
    <r>
      <rPr>
        <sz val="11"/>
        <color theme="1"/>
        <rFont val="Calibri"/>
        <family val="2"/>
        <charset val="204"/>
      </rPr>
      <t xml:space="preserve">ε</t>
    </r>
    <r>
      <rPr>
        <vertAlign val="subscript"/>
        <sz val="11"/>
        <color theme="1"/>
        <rFont val="Calibri"/>
        <family val="2"/>
        <charset val="204"/>
      </rPr>
      <t xml:space="preserve">x</t>
    </r>
  </si>
  <si>
    <t xml:space="preserve">ε</t>
  </si>
  <si>
    <t xml:space="preserve">M</t>
  </si>
  <si>
    <r>
      <rPr>
        <sz val="11"/>
        <color theme="1"/>
        <rFont val="Calibri"/>
        <family val="2"/>
        <charset val="1"/>
      </rPr>
      <t xml:space="preserve">M</t>
    </r>
    <r>
      <rPr>
        <vertAlign val="subscript"/>
        <sz val="11"/>
        <color theme="1"/>
        <rFont val="Calibri"/>
        <family val="2"/>
        <charset val="204"/>
      </rPr>
      <t xml:space="preserve">тр</t>
    </r>
  </si>
  <si>
    <r>
      <rPr>
        <sz val="11"/>
        <color theme="1"/>
        <rFont val="Calibri"/>
        <family val="2"/>
        <charset val="1"/>
      </rPr>
      <t xml:space="preserve">4m</t>
    </r>
    <r>
      <rPr>
        <vertAlign val="subscript"/>
        <sz val="11"/>
        <color theme="1"/>
        <rFont val="Calibri"/>
        <family val="2"/>
        <charset val="204"/>
      </rPr>
      <t xml:space="preserve">ут</t>
    </r>
  </si>
  <si>
    <r>
      <rPr>
        <sz val="11"/>
        <color theme="1"/>
        <rFont val="Calibri"/>
        <family val="2"/>
        <charset val="1"/>
      </rPr>
      <t xml:space="preserve">I</t>
    </r>
    <r>
      <rPr>
        <vertAlign val="subscript"/>
        <sz val="11"/>
        <color theme="1"/>
        <rFont val="Calibri"/>
        <family val="2"/>
        <charset val="204"/>
      </rPr>
      <t xml:space="preserve">0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</si>
</sst>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%"/>
    <numFmt numFmtId="166" formatCode="0.00"/>
    <numFmt numFmtId="167" formatCode="0.00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vertAlign val="subscript"/>
      <sz val="11"/>
      <color theme="1"/>
      <name val="Calibri"/>
      <family val="2"/>
      <charset val="204"/>
    </font>
    <font>
      <vertAlign val="superscript"/>
      <sz val="11"/>
      <color theme="1"/>
      <name val="Calibri"/>
      <family val="2"/>
      <charset val="204"/>
    </font>
    <font>
      <sz val="11"/>
      <color theme="1"/>
      <name val="Calibri"/>
      <family val="2"/>
      <charset val="204"/>
    </font>
    <font>
      <sz val="14"/>
      <color rgb="FF595959"/>
      <name val="Calibri"/>
      <family val="2"/>
    </font>
    <font>
      <sz val="9"/>
      <color rgb="FF595959"/>
      <name val="Calibri"/>
      <family val="2"/>
    </font>
    <font>
      <sz val="10"/>
      <color rgb="FF595959"/>
      <name val="Calibri"/>
      <family val="2"/>
    </font>
    <font>
      <vertAlign val="superscript"/>
      <sz val="10"/>
      <color rgb="FF595959"/>
      <name val="Calibri"/>
      <family val="2"/>
    </font>
    <font>
      <sz val="10"/>
      <color theme="1"/>
      <name val="Calibri"/>
      <family val="2"/>
      <charset val="1"/>
    </font>
    <font>
      <vertAlign val="subscript"/>
      <sz val="10"/>
      <color theme="1"/>
      <name val="Calibri"/>
      <family val="2"/>
      <charset val="1"/>
    </font>
    <font>
      <vertAlign val="superscript"/>
      <sz val="10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 style="thick"/>
      <diagonal/>
    </border>
    <border diagonalUp="false" diagonalDown="false">
      <left/>
      <right style="thick"/>
      <top/>
      <bottom style="thick"/>
      <diagonal/>
    </border>
    <border diagonalUp="false" diagonalDown="false">
      <left/>
      <right/>
      <top/>
      <bottom style="thick"/>
      <diagonal/>
    </border>
    <border diagonalUp="false" diagonalDown="false">
      <left/>
      <right style="thick"/>
      <top style="thick"/>
      <bottom style="thick"/>
      <diagonal/>
    </border>
    <border diagonalUp="false" diagonalDown="false">
      <left style="thick"/>
      <right/>
      <top style="thick"/>
      <bottom style="thick"/>
      <diagonal/>
    </border>
    <border diagonalUp="false" diagonalDown="false">
      <left style="thick"/>
      <right style="thick"/>
      <top style="thick"/>
      <bottom style="thick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ck"/>
      <top/>
      <bottom/>
      <diagonal/>
    </border>
    <border diagonalUp="false" diagonalDown="false">
      <left style="thick"/>
      <right/>
      <top style="thick"/>
      <bottom/>
      <diagonal/>
    </border>
    <border diagonalUp="false" diagonalDown="false">
      <left style="thick"/>
      <right style="thick"/>
      <top/>
      <bottom/>
      <diagonal/>
    </border>
    <border diagonalUp="false" diagonalDown="false">
      <left/>
      <right style="thick"/>
      <top style="thick"/>
      <bottom/>
      <diagonal/>
    </border>
    <border diagonalUp="false" diagonalDown="false">
      <left style="thick"/>
      <right style="thick"/>
      <top style="thick"/>
      <bottom/>
      <diagonal/>
    </border>
    <border diagonalUp="false" diagonalDown="false">
      <left style="thick"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5B9BD5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70AD47"/>
      <rgbColor rgb="FFFFC000"/>
      <rgbColor rgb="FFFF9900"/>
      <rgbColor rgb="FFED7D31"/>
      <rgbColor rgb="FF595959"/>
      <rgbColor rgb="FFA5A5A5"/>
      <rgbColor rgb="FF003366"/>
      <rgbColor rgb="FF00B050"/>
      <rgbColor rgb="FF003300"/>
      <rgbColor rgb="FF333300"/>
      <rgbColor rgb="FF993300"/>
      <rgbColor rgb="FF993366"/>
      <rgbColor rgb="FF2F5597"/>
      <rgbColor rgb="FF222A3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lang="ru-RU" sz="1400" strike="noStrike" u="none">
                <a:solidFill>
                  <a:srgbClr val="595959"/>
                </a:solidFill>
                <a:uFillTx/>
                <a:latin typeface="Calibri"/>
              </a:rPr>
              <a:t>График</a:t>
            </a:r>
            <a:r>
              <a:rPr b="0" lang="ru-RU" sz="1400" strike="noStrike" u="none">
                <a:solidFill>
                  <a:srgbClr val="595959"/>
                </a:solidFill>
                <a:uFillTx/>
                <a:latin typeface="Calibri"/>
              </a:rPr>
              <a:t> зависимости </a:t>
            </a:r>
            <a:r>
              <a:rPr b="0" lang="en-US" sz="1400" strike="noStrike" u="none">
                <a:solidFill>
                  <a:srgbClr val="595959"/>
                </a:solidFill>
                <a:uFillTx/>
                <a:latin typeface="Calibri"/>
              </a:rPr>
              <a:t>M</a:t>
            </a:r>
            <a:r>
              <a:rPr b="0" lang="ru-RU" sz="1400" strike="noStrike" u="none">
                <a:solidFill>
                  <a:srgbClr val="595959"/>
                </a:solidFill>
                <a:uFillTx/>
                <a:latin typeface="Calibri"/>
              </a:rPr>
              <a:t> от </a:t>
            </a:r>
            <a:r>
              <a:rPr b="0" lang="el-GR" sz="1400" strike="noStrike" u="none">
                <a:solidFill>
                  <a:srgbClr val="595959"/>
                </a:solidFill>
                <a:uFillTx/>
                <a:latin typeface="Calibri"/>
              </a:rPr>
              <a:t>ε</a:t>
            </a:r>
            <a:r>
              <a:rPr b="0" lang="ru-RU" sz="1400" strike="noStrike" u="none">
                <a:solidFill>
                  <a:srgbClr val="595959"/>
                </a:solidFill>
                <a:uFillTx/>
                <a:latin typeface="Calibri"/>
              </a:rPr>
              <a:t> для разных положений утяжелителей</a:t>
            </a:r>
            <a:r>
              <a:rPr b="0" lang="ru-RU" sz="1400" strike="noStrike" u="none">
                <a:solidFill>
                  <a:srgbClr val="595959"/>
                </a:solidFill>
                <a:uFillTx/>
                <a:latin typeface="Calibri"/>
              </a:rPr>
              <a:t> </a:t>
            </a:r>
          </a:p>
        </c:rich>
      </c:tx>
      <c:layout>
        <c:manualLayout>
          <c:xMode val="edge"/>
          <c:yMode val="edge"/>
          <c:x val="0.268060836501901"/>
          <c:y val="0.93978341068666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562391980642931"/>
          <c:y val="0.046947518743306"/>
          <c:w val="0.910404424472866"/>
          <c:h val="0.818457693680828"/>
        </c:manualLayout>
      </c:layout>
      <c:scatterChart>
        <c:scatterStyle val="lineMarker"/>
        <c:varyColors val="0"/>
        <c:ser>
          <c:idx val="0"/>
          <c:order val="0"/>
          <c:tx>
            <c:strRef>
              <c:f>"рис.1"</c:f>
              <c:strCache>
                <c:ptCount val="1"/>
                <c:pt idx="0">
                  <c:v>рис.1</c:v>
                </c:pt>
              </c:strCache>
            </c:strRef>
          </c:tx>
          <c:spPr>
            <a:solidFill>
              <a:srgbClr val="5b9bd5"/>
            </a:solidFill>
            <a:ln w="19080">
              <a:noFill/>
            </a:ln>
          </c:spPr>
          <c:marker>
            <c:symbol val="circle"/>
            <c:size val="2"/>
            <c:spPr>
              <a:solidFill>
                <a:srgbClr val="5b9bd5"/>
              </a:solidFill>
            </c:spPr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908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cap="rnd" w="12600">
                <a:solidFill>
                  <a:srgbClr val="5b9bd5"/>
                </a:solidFill>
                <a:round/>
              </a:ln>
            </c:spPr>
            <c:trendlineType val="linear"/>
            <c:forward val="0"/>
            <c:backward val="0"/>
            <c:dispRSqr val="0"/>
            <c:dispEq val="0"/>
          </c:trendline>
          <c:errBars>
            <c:errDir val="y"/>
            <c:errBarType val="both"/>
            <c:errValType val="cust"/>
            <c:noEndCap val="0"/>
            <c:plus>
              <c:numRef>
                <c:f>'Погрешности косвенные (M)'!$B$8</c:f>
                <c:numCache>
                  <c:formatCode>General</c:formatCode>
                  <c:ptCount val="1"/>
                  <c:pt idx="0">
                    <c:v>0.000103679706838514</c:v>
                  </c:pt>
                </c:numCache>
              </c:numRef>
            </c:plus>
            <c:minus>
              <c:numRef>
                <c:f>'Погрешности косвенные (M)'!$B$8</c:f>
                <c:numCache>
                  <c:formatCode>General</c:formatCode>
                  <c:ptCount val="1"/>
                  <c:pt idx="0">
                    <c:v>0.000103679706838514</c:v>
                  </c:pt>
                </c:numCache>
              </c:numRef>
            </c:minus>
            <c:spPr>
              <a:ln w="9360">
                <a:solidFill>
                  <a:srgbClr val="595959"/>
                </a:solidFill>
                <a:round/>
              </a:ln>
            </c:spPr>
          </c:errBars>
          <c:errBars>
            <c:errDir val="x"/>
            <c:errBarType val="both"/>
            <c:errValType val="fixedVal"/>
            <c:noEndCap val="0"/>
            <c:val val="0.8"/>
            <c:spPr>
              <a:ln w="9360">
                <a:solidFill>
                  <a:srgbClr val="595959"/>
                </a:solidFill>
                <a:round/>
              </a:ln>
            </c:spPr>
          </c:errBars>
          <c:xVal>
            <c:numRef>
              <c:f>'Таблица 2'!$D$3,'Таблица 2'!$D$9,'Таблица 2'!$D$15,'Таблица 2'!$D$21</c:f>
              <c:numCache>
                <c:formatCode>0.00</c:formatCode>
                <c:ptCount val="4"/>
                <c:pt idx="0">
                  <c:v>2.88918152170302</c:v>
                </c:pt>
                <c:pt idx="1">
                  <c:v>4.96894409937888</c:v>
                </c:pt>
                <c:pt idx="2">
                  <c:v>6.94731158890971</c:v>
                </c:pt>
                <c:pt idx="3">
                  <c:v>8.28822663326906</c:v>
                </c:pt>
              </c:numCache>
            </c:numRef>
          </c:xVal>
          <c:yVal>
            <c:numRef>
              <c:f>'Таблица 2'!$E$3,'Таблица 2'!$E$9,'Таблица 2'!$E$15,'Таблица 2'!$E$21</c:f>
              <c:numCache>
                <c:formatCode>0.00</c:formatCode>
                <c:ptCount val="4"/>
                <c:pt idx="0">
                  <c:v>0.0597737233343301</c:v>
                </c:pt>
                <c:pt idx="1">
                  <c:v>0.108489685714286</c:v>
                </c:pt>
                <c:pt idx="2">
                  <c:v>0.156759484623813</c:v>
                </c:pt>
                <c:pt idx="3">
                  <c:v>0.204881394558898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"рис.2"</c:f>
              <c:strCache>
                <c:ptCount val="1"/>
                <c:pt idx="0">
                  <c:v>рис.2</c:v>
                </c:pt>
              </c:strCache>
            </c:strRef>
          </c:tx>
          <c:spPr>
            <a:solidFill>
              <a:srgbClr val="ed7d31"/>
            </a:solidFill>
            <a:ln w="19080">
              <a:noFill/>
            </a:ln>
          </c:spPr>
          <c:marker>
            <c:symbol val="circle"/>
            <c:size val="2"/>
            <c:spPr>
              <a:solidFill>
                <a:srgbClr val="ed7d31"/>
              </a:solidFill>
            </c:spPr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908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cap="rnd" w="12600">
                <a:solidFill>
                  <a:srgbClr val="ed7d31"/>
                </a:solidFill>
                <a:round/>
              </a:ln>
            </c:spPr>
            <c:trendlineType val="linear"/>
            <c:forward val="0"/>
            <c:backward val="0"/>
            <c:dispRSqr val="0"/>
            <c:dispEq val="0"/>
          </c:trendline>
          <c:xVal>
            <c:numRef>
              <c:f>'Таблица 2'!$D$4,'Таблица 2'!$D$10,'Таблица 2'!$D$16,'Таблица 2'!$D$22</c:f>
              <c:numCache>
                <c:formatCode>0.00</c:formatCode>
                <c:ptCount val="4"/>
                <c:pt idx="0">
                  <c:v>2.04930780969249</c:v>
                </c:pt>
                <c:pt idx="1">
                  <c:v>3.86206150774329</c:v>
                </c:pt>
                <c:pt idx="2">
                  <c:v>4.80286305527958</c:v>
                </c:pt>
                <c:pt idx="3">
                  <c:v>6.41650839279298</c:v>
                </c:pt>
              </c:numCache>
            </c:numRef>
          </c:xVal>
          <c:yVal>
            <c:numRef>
              <c:f>'Таблица 2'!$E$4,'Таблица 2'!$E$10,'Таблица 2'!$E$16,'Таблица 2'!$E$22</c:f>
              <c:numCache>
                <c:formatCode>0.00</c:formatCode>
                <c:ptCount val="4"/>
                <c:pt idx="0">
                  <c:v>0.0598923496170356</c:v>
                </c:pt>
                <c:pt idx="1">
                  <c:v>0.108774844128191</c:v>
                </c:pt>
                <c:pt idx="2">
                  <c:v>0.157561514808736</c:v>
                </c:pt>
                <c:pt idx="3">
                  <c:v>0.205799253364817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"рис.3"</c:f>
              <c:strCache>
                <c:ptCount val="1"/>
                <c:pt idx="0">
                  <c:v>рис.3</c:v>
                </c:pt>
              </c:strCache>
            </c:strRef>
          </c:tx>
          <c:spPr>
            <a:solidFill>
              <a:srgbClr val="a5a5a5"/>
            </a:solidFill>
            <a:ln w="19080">
              <a:noFill/>
            </a:ln>
          </c:spPr>
          <c:marker>
            <c:symbol val="circle"/>
            <c:size val="2"/>
            <c:spPr>
              <a:solidFill>
                <a:srgbClr val="a5a5a5"/>
              </a:solidFill>
            </c:spPr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908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cap="rnd" w="12600">
                <a:solidFill>
                  <a:srgbClr val="a5a5a5"/>
                </a:solidFill>
                <a:round/>
              </a:ln>
            </c:spPr>
            <c:trendlineType val="linear"/>
            <c:forward val="0"/>
            <c:backward val="0"/>
            <c:dispRSqr val="0"/>
            <c:dispEq val="0"/>
          </c:trendline>
          <c:xVal>
            <c:numRef>
              <c:f>'Таблица 2'!$D$5,'Таблица 2'!$D$11,'Таблица 2'!$D$17,'Таблица 2'!$D$23</c:f>
              <c:numCache>
                <c:formatCode>0.00</c:formatCode>
                <c:ptCount val="4"/>
                <c:pt idx="0">
                  <c:v>1.61986659935735</c:v>
                </c:pt>
                <c:pt idx="1">
                  <c:v>2.92732211918048</c:v>
                </c:pt>
                <c:pt idx="2">
                  <c:v>3.78539718144734</c:v>
                </c:pt>
                <c:pt idx="3">
                  <c:v>5.23469571274682</c:v>
                </c:pt>
              </c:numCache>
            </c:numRef>
          </c:xVal>
          <c:yVal>
            <c:numRef>
              <c:f>'Таблица 2'!$E$5,'Таблица 2'!$E$11,'Таблица 2'!$E$17,'Таблица 2'!$E$23</c:f>
              <c:numCache>
                <c:formatCode>0.00</c:formatCode>
                <c:ptCount val="4"/>
                <c:pt idx="0">
                  <c:v>0.059953005181907</c:v>
                </c:pt>
                <c:pt idx="1">
                  <c:v>0.10901565449369</c:v>
                </c:pt>
                <c:pt idx="2">
                  <c:v>0.157942050097947</c:v>
                </c:pt>
                <c:pt idx="3">
                  <c:v>0.206378794212296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"рис.4"</c:f>
              <c:strCache>
                <c:ptCount val="1"/>
                <c:pt idx="0">
                  <c:v>рис.4</c:v>
                </c:pt>
              </c:strCache>
            </c:strRef>
          </c:tx>
          <c:spPr>
            <a:solidFill>
              <a:srgbClr val="ffc000"/>
            </a:solidFill>
            <a:ln w="19080">
              <a:noFill/>
            </a:ln>
          </c:spPr>
          <c:marker>
            <c:symbol val="circle"/>
            <c:size val="2"/>
            <c:spPr>
              <a:solidFill>
                <a:srgbClr val="ffc000"/>
              </a:solidFill>
            </c:spPr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908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cap="rnd" w="12600">
                <a:solidFill>
                  <a:srgbClr val="ffc000"/>
                </a:solidFill>
                <a:round/>
              </a:ln>
            </c:spPr>
            <c:trendlineType val="linear"/>
            <c:forward val="0"/>
            <c:backward val="0"/>
            <c:dispRSqr val="0"/>
            <c:dispEq val="0"/>
          </c:trendline>
          <c:xVal>
            <c:numRef>
              <c:f>'Таблица 2'!$D$6,'Таблица 2'!$D$12,'Таблица 2'!$D$18,'Таблица 2'!$D$24</c:f>
              <c:numCache>
                <c:formatCode>0.00</c:formatCode>
                <c:ptCount val="4"/>
                <c:pt idx="0">
                  <c:v>1.09669952195651</c:v>
                </c:pt>
                <c:pt idx="1">
                  <c:v>2.03434940852018</c:v>
                </c:pt>
                <c:pt idx="2">
                  <c:v>3.20204345264452</c:v>
                </c:pt>
                <c:pt idx="3">
                  <c:v>4.1279815821256</c:v>
                </c:pt>
              </c:numCache>
            </c:numRef>
          </c:xVal>
          <c:yVal>
            <c:numRef>
              <c:f>'Таблица 2'!$E$6,'Таблица 2'!$E$12,'Таблица 2'!$E$18,'Таблица 2'!$E$24</c:f>
              <c:numCache>
                <c:formatCode>0.00</c:formatCode>
                <c:ptCount val="4"/>
                <c:pt idx="0">
                  <c:v>0.0600268988694203</c:v>
                </c:pt>
                <c:pt idx="1">
                  <c:v>0.109245704802329</c:v>
                </c:pt>
                <c:pt idx="2">
                  <c:v>0.158160226142581</c:v>
                </c:pt>
                <c:pt idx="3">
                  <c:v>0.206921508007813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"рис.5"</c:f>
              <c:strCache>
                <c:ptCount val="1"/>
                <c:pt idx="0">
                  <c:v>рис.5</c:v>
                </c:pt>
              </c:strCache>
            </c:strRef>
          </c:tx>
          <c:spPr>
            <a:solidFill>
              <a:srgbClr val="4472c4"/>
            </a:solidFill>
            <a:ln w="19080">
              <a:noFill/>
            </a:ln>
          </c:spPr>
          <c:marker>
            <c:symbol val="circle"/>
            <c:size val="2"/>
            <c:spPr>
              <a:solidFill>
                <a:srgbClr val="4472c4"/>
              </a:solidFill>
            </c:spPr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908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cap="rnd" w="12600">
                <a:solidFill>
                  <a:srgbClr val="4472c4"/>
                </a:solidFill>
                <a:round/>
              </a:ln>
            </c:spPr>
            <c:trendlineType val="linear"/>
            <c:forward val="0"/>
            <c:backward val="0"/>
            <c:dispRSqr val="0"/>
            <c:dispEq val="0"/>
          </c:trendline>
          <c:xVal>
            <c:numRef>
              <c:f>'Таблица 2'!$D$7,'Таблица 2'!$D$13,'Таблица 2'!$D$19,'Таблица 2'!$D$25</c:f>
              <c:numCache>
                <c:formatCode>0.00</c:formatCode>
                <c:ptCount val="4"/>
                <c:pt idx="0">
                  <c:v>0.875120985476242</c:v>
                </c:pt>
                <c:pt idx="1">
                  <c:v>1.61986659935735</c:v>
                </c:pt>
                <c:pt idx="2">
                  <c:v>2.76728898383765</c:v>
                </c:pt>
                <c:pt idx="3">
                  <c:v>2.77912763977424</c:v>
                </c:pt>
              </c:numCache>
            </c:numRef>
          </c:xVal>
          <c:yVal>
            <c:numRef>
              <c:f>'Таблица 2'!$E$7,'Таблица 2'!$E$13,'Таблица 2'!$E$19,'Таблица 2'!$E$25</c:f>
              <c:numCache>
                <c:formatCode>0.00</c:formatCode>
                <c:ptCount val="4"/>
                <c:pt idx="0">
                  <c:v>0.0600581952866484</c:v>
                </c:pt>
                <c:pt idx="1">
                  <c:v>0.109352485107074</c:v>
                </c:pt>
                <c:pt idx="2">
                  <c:v>0.158322825618178</c:v>
                </c:pt>
                <c:pt idx="3">
                  <c:v>0.207582963050625</c:v>
                </c:pt>
              </c:numCache>
            </c:numRef>
          </c:yVal>
          <c:smooth val="1"/>
        </c:ser>
        <c:ser>
          <c:idx val="5"/>
          <c:order val="5"/>
          <c:tx>
            <c:strRef>
              <c:f>"рис.6"</c:f>
              <c:strCache>
                <c:ptCount val="1"/>
                <c:pt idx="0">
                  <c:v>рис.6</c:v>
                </c:pt>
              </c:strCache>
            </c:strRef>
          </c:tx>
          <c:spPr>
            <a:solidFill>
              <a:srgbClr val="70ad47"/>
            </a:solidFill>
            <a:ln w="19080">
              <a:noFill/>
            </a:ln>
          </c:spPr>
          <c:marker>
            <c:symbol val="circle"/>
            <c:size val="2"/>
            <c:spPr>
              <a:solidFill>
                <a:srgbClr val="70ad47"/>
              </a:solidFill>
            </c:spPr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908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cap="rnd" w="12600">
                <a:solidFill>
                  <a:srgbClr val="70ad47"/>
                </a:solidFill>
                <a:round/>
              </a:ln>
            </c:spPr>
            <c:trendlineType val="linear"/>
            <c:forward val="0"/>
            <c:backward val="0"/>
            <c:dispRSqr val="0"/>
            <c:dispEq val="0"/>
          </c:trendline>
          <c:xVal>
            <c:numRef>
              <c:f>'Таблица 2'!$D$8,'Таблица 2'!$D$14,'Таблица 2'!$D$20,'Таблица 2'!$D$26</c:f>
              <c:numCache>
                <c:formatCode>0.00</c:formatCode>
                <c:ptCount val="4"/>
                <c:pt idx="0">
                  <c:v>0.753148848088425</c:v>
                </c:pt>
                <c:pt idx="1">
                  <c:v>1.37643880869221</c:v>
                </c:pt>
                <c:pt idx="2">
                  <c:v>1.8867029488628</c:v>
                </c:pt>
                <c:pt idx="3">
                  <c:v>2.34944149580214</c:v>
                </c:pt>
              </c:numCache>
            </c:numRef>
          </c:xVal>
          <c:yVal>
            <c:numRef>
              <c:f>'Таблица 2'!$E$8,'Таблица 2'!$E$14,'Таблица 2'!$E$20,'Таблица 2'!$E$26</c:f>
              <c:numCache>
                <c:formatCode>0.00</c:formatCode>
                <c:ptCount val="4"/>
                <c:pt idx="0">
                  <c:v>0.0600754229972495</c:v>
                </c:pt>
                <c:pt idx="1">
                  <c:v>0.109415197704788</c:v>
                </c:pt>
                <c:pt idx="2">
                  <c:v>0.158652167437017</c:v>
                </c:pt>
                <c:pt idx="3">
                  <c:v>0.207793673830964</c:v>
                </c:pt>
              </c:numCache>
            </c:numRef>
          </c:yVal>
          <c:smooth val="1"/>
        </c:ser>
        <c:axId val="98137813"/>
        <c:axId val="67154563"/>
      </c:scatterChart>
      <c:valAx>
        <c:axId val="98137813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0" lang="el-GR" sz="1000" strike="noStrike" u="none">
                    <a:solidFill>
                      <a:srgbClr val="595959"/>
                    </a:solidFill>
                    <a:uFillTx/>
                    <a:latin typeface="Calibri"/>
                  </a:rPr>
                  <a:t>ε</a:t>
                </a:r>
                <a:r>
                  <a:rPr b="0" lang="en-US" sz="1000" strike="noStrike" u="none">
                    <a:solidFill>
                      <a:srgbClr val="595959"/>
                    </a:solidFill>
                    <a:uFillTx/>
                    <a:latin typeface="Calibri"/>
                  </a:rPr>
                  <a:t>, </a:t>
                </a:r>
                <a:r>
                  <a:rPr b="0" lang="ru-RU" sz="1000" strike="noStrike" u="none">
                    <a:solidFill>
                      <a:srgbClr val="595959"/>
                    </a:solidFill>
                    <a:uFillTx/>
                    <a:latin typeface="Calibri"/>
                  </a:rPr>
                  <a:t>с</a:t>
                </a:r>
                <a:r>
                  <a:rPr b="0" lang="ru-RU" sz="1000" strike="noStrike" u="none" baseline="30000">
                    <a:solidFill>
                      <a:srgbClr val="595959"/>
                    </a:solidFill>
                    <a:uFillTx/>
                    <a:latin typeface="Calibri"/>
                  </a:rPr>
                  <a:t>-2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Calibri"/>
              </a:defRPr>
            </a:pPr>
          </a:p>
        </c:txPr>
        <c:crossAx val="67154563"/>
        <c:crosses val="autoZero"/>
        <c:crossBetween val="midCat"/>
      </c:valAx>
      <c:valAx>
        <c:axId val="67154563"/>
        <c:scaling>
          <c:orientation val="minMax"/>
        </c:scaling>
        <c:delete val="0"/>
        <c:axPos val="l"/>
        <c:majorGridlines>
          <c:spPr>
            <a:ln w="9360">
              <a:solidFill>
                <a:srgbClr val="5b9bd5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0" lang="en-US" sz="1000" strike="noStrike" u="none">
                    <a:solidFill>
                      <a:srgbClr val="595959"/>
                    </a:solidFill>
                    <a:uFillTx/>
                    <a:latin typeface="Calibri"/>
                  </a:rPr>
                  <a:t>M,</a:t>
                </a:r>
                <a:r>
                  <a:rPr b="0" lang="en-US" sz="1000" strike="noStrike" u="none">
                    <a:solidFill>
                      <a:srgbClr val="595959"/>
                    </a:solidFill>
                    <a:uFillTx/>
                    <a:latin typeface="Calibri"/>
                  </a:rPr>
                  <a:t> </a:t>
                </a:r>
                <a:r>
                  <a:rPr b="0" lang="ru-RU" sz="1000" strike="noStrike" u="none">
                    <a:solidFill>
                      <a:srgbClr val="595959"/>
                    </a:solidFill>
                    <a:uFillTx/>
                    <a:latin typeface="Calibri"/>
                  </a:rPr>
                  <a:t>Н*м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Calibri"/>
              </a:defRPr>
            </a:pPr>
          </a:p>
        </c:txPr>
        <c:crossAx val="98137813"/>
        <c:crosses val="autoZero"/>
        <c:crossBetween val="midCat"/>
      </c:valAx>
      <c:spPr>
        <a:noFill/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b="0" sz="900" strike="noStrike" u="none">
              <a:solidFill>
                <a:srgbClr val="595959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lang="ru-RU" sz="1400" strike="noStrike" u="none">
                <a:solidFill>
                  <a:srgbClr val="595959"/>
                </a:solidFill>
                <a:uFillTx/>
                <a:latin typeface="Calibri"/>
              </a:rPr>
              <a:t>График зависимости момента инерции</a:t>
            </a:r>
            <a:r>
              <a:rPr b="0" lang="ru-RU" sz="1400" strike="noStrike" u="none">
                <a:solidFill>
                  <a:srgbClr val="595959"/>
                </a:solidFill>
                <a:uFillTx/>
                <a:latin typeface="Calibri"/>
              </a:rPr>
              <a:t> от положения утяжелителей</a:t>
            </a:r>
          </a:p>
        </c:rich>
      </c:tx>
      <c:layout>
        <c:manualLayout>
          <c:xMode val="edge"/>
          <c:yMode val="edge"/>
          <c:x val="0.230822338140534"/>
          <c:y val="0.936479576119771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637465480208653"/>
          <c:y val="0.0386297825149405"/>
          <c:w val="0.900583000920528"/>
          <c:h val="0.815599778202206"/>
        </c:manualLayout>
      </c:layout>
      <c:scatterChart>
        <c:scatterStyle val="lineMarker"/>
        <c:varyColors val="0"/>
        <c:ser>
          <c:idx val="0"/>
          <c:order val="0"/>
          <c:tx>
            <c:strRef>
              <c:f>"1"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rgbClr val="5b9bd5"/>
            </a:solidFill>
            <a:ln w="19080">
              <a:noFill/>
            </a:ln>
          </c:spPr>
          <c:marker>
            <c:symbol val="circle"/>
            <c:size val="5"/>
            <c:spPr>
              <a:solidFill>
                <a:srgbClr val="5b9bd5"/>
              </a:solidFill>
            </c:spPr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908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cap="rnd" w="19080">
                <a:solidFill>
                  <a:srgbClr val="5b9bd5"/>
                </a:solidFill>
                <a:round/>
              </a:ln>
            </c:spPr>
            <c:trendlineType val="linear"/>
            <c:forward val="0"/>
            <c:backward val="0"/>
            <c:dispRSqr val="0"/>
            <c:dispEq val="0"/>
          </c:trendline>
          <c:xVal>
            <c:numRef>
              <c:f>'Таблица 3'!$B$3:$G$3</c:f>
              <c:numCache>
                <c:formatCode>General</c:formatCode>
                <c:ptCount val="6"/>
                <c:pt idx="0">
                  <c:v>0.005929</c:v>
                </c:pt>
                <c:pt idx="1">
                  <c:v>0.010404</c:v>
                </c:pt>
                <c:pt idx="2">
                  <c:v>0.016129</c:v>
                </c:pt>
                <c:pt idx="3">
                  <c:v>0.023104</c:v>
                </c:pt>
                <c:pt idx="4">
                  <c:v>0.031329</c:v>
                </c:pt>
                <c:pt idx="5">
                  <c:v>0.040804</c:v>
                </c:pt>
              </c:numCache>
            </c:numRef>
          </c:xVal>
          <c:yVal>
            <c:numRef>
              <c:f>'Таблица 3'!$B$4:$G$4</c:f>
              <c:numCache>
                <c:formatCode>0.00</c:formatCode>
                <c:ptCount val="6"/>
                <c:pt idx="0">
                  <c:v>0.0263721678221842</c:v>
                </c:pt>
                <c:pt idx="1">
                  <c:v>0.03419706696074</c:v>
                </c:pt>
                <c:pt idx="2">
                  <c:v>0.0413543900401637</c:v>
                </c:pt>
                <c:pt idx="3">
                  <c:v>0.0476105968521671</c:v>
                </c:pt>
                <c:pt idx="4">
                  <c:v>0.0646957226193292</c:v>
                </c:pt>
                <c:pt idx="5">
                  <c:v>0.0924862075051347</c:v>
                </c:pt>
              </c:numCache>
            </c:numRef>
          </c:yVal>
          <c:smooth val="1"/>
        </c:ser>
        <c:axId val="39699641"/>
        <c:axId val="41486421"/>
      </c:scatterChart>
      <c:valAx>
        <c:axId val="39699641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0" lang="en-US" sz="1000" strike="noStrike" u="none">
                    <a:solidFill>
                      <a:srgbClr val="595959"/>
                    </a:solidFill>
                    <a:uFillTx/>
                    <a:latin typeface="Calibri"/>
                  </a:rPr>
                  <a:t>R</a:t>
                </a:r>
                <a:r>
                  <a:rPr b="0" lang="en-US" sz="1000" strike="noStrike" u="none" baseline="30000">
                    <a:solidFill>
                      <a:srgbClr val="595959"/>
                    </a:solidFill>
                    <a:uFillTx/>
                    <a:latin typeface="Calibri"/>
                  </a:rPr>
                  <a:t>2</a:t>
                </a:r>
                <a:r>
                  <a:rPr b="0" lang="ru-RU" sz="1000" strike="noStrike" u="none">
                    <a:solidFill>
                      <a:srgbClr val="595959"/>
                    </a:solidFill>
                    <a:uFillTx/>
                    <a:latin typeface="Calibri"/>
                  </a:rPr>
                  <a:t>, м</a:t>
                </a:r>
                <a:r>
                  <a:rPr b="0" lang="ru-RU" sz="1000" strike="noStrike" u="none" baseline="30000">
                    <a:solidFill>
                      <a:srgbClr val="595959"/>
                    </a:solidFill>
                    <a:uFillTx/>
                    <a:latin typeface="Calibri"/>
                  </a:rPr>
                  <a:t>2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Calibri"/>
              </a:defRPr>
            </a:pPr>
          </a:p>
        </c:txPr>
        <c:crossAx val="41486421"/>
        <c:crosses val="autoZero"/>
        <c:crossBetween val="midCat"/>
      </c:valAx>
      <c:valAx>
        <c:axId val="41486421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0" lang="en-US" sz="1000" strike="noStrike" u="none">
                    <a:solidFill>
                      <a:srgbClr val="595959"/>
                    </a:solidFill>
                    <a:uFillTx/>
                    <a:latin typeface="Calibri"/>
                  </a:rPr>
                  <a:t>I, </a:t>
                </a:r>
                <a:r>
                  <a:rPr b="0" lang="ru-RU" sz="1000" strike="noStrike" u="none">
                    <a:solidFill>
                      <a:srgbClr val="595959"/>
                    </a:solidFill>
                    <a:uFillTx/>
                    <a:latin typeface="Calibri"/>
                  </a:rPr>
                  <a:t>кг*м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Calibri"/>
              </a:defRPr>
            </a:pPr>
          </a:p>
        </c:txPr>
        <c:crossAx val="39699641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lang="ru-RU" sz="1400" strike="noStrike" u="none">
                <a:solidFill>
                  <a:srgbClr val="595959"/>
                </a:solidFill>
                <a:uFillTx/>
                <a:latin typeface="Calibri"/>
              </a:rPr>
              <a:t>График зависимости момента инерции</a:t>
            </a:r>
            <a:r>
              <a:rPr b="0" lang="ru-RU" sz="1400" strike="noStrike" u="none">
                <a:solidFill>
                  <a:srgbClr val="595959"/>
                </a:solidFill>
                <a:uFillTx/>
                <a:latin typeface="Calibri"/>
              </a:rPr>
              <a:t> от положения утяжелителей</a:t>
            </a:r>
          </a:p>
        </c:rich>
      </c:tx>
      <c:layout>
        <c:manualLayout>
          <c:xMode val="edge"/>
          <c:yMode val="edge"/>
          <c:x val="0.230822338140534"/>
          <c:y val="0.936479576119771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637465480208653"/>
          <c:y val="0.0386297825149405"/>
          <c:w val="0.900583000920528"/>
          <c:h val="0.815599778202206"/>
        </c:manualLayout>
      </c:layout>
      <c:scatterChart>
        <c:scatterStyle val="lineMarker"/>
        <c:varyColors val="0"/>
        <c:ser>
          <c:idx val="0"/>
          <c:order val="0"/>
          <c:tx>
            <c:strRef>
              <c:f>"1"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rgbClr val="5b9bd5"/>
            </a:solidFill>
            <a:ln w="19080">
              <a:noFill/>
            </a:ln>
          </c:spPr>
          <c:marker>
            <c:symbol val="circle"/>
            <c:size val="2"/>
            <c:spPr>
              <a:solidFill>
                <a:srgbClr val="5b9bd5"/>
              </a:solidFill>
            </c:spPr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908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cap="rnd" w="12600">
                <a:solidFill>
                  <a:srgbClr val="5b9bd5"/>
                </a:solidFill>
                <a:round/>
              </a:ln>
            </c:spPr>
            <c:trendlineType val="linear"/>
            <c:forward val="0"/>
            <c:backward val="0"/>
            <c:dispRSqr val="0"/>
            <c:dispEq val="0"/>
          </c:trendline>
          <c:xVal>
            <c:numRef>
              <c:f>'Таблица 3'!$B$3:$G$3</c:f>
              <c:numCache>
                <c:formatCode>General</c:formatCode>
                <c:ptCount val="6"/>
                <c:pt idx="0">
                  <c:v>0.005929</c:v>
                </c:pt>
                <c:pt idx="1">
                  <c:v>0.010404</c:v>
                </c:pt>
                <c:pt idx="2">
                  <c:v>0.016129</c:v>
                </c:pt>
                <c:pt idx="3">
                  <c:v>0.023104</c:v>
                </c:pt>
                <c:pt idx="4">
                  <c:v>0.031329</c:v>
                </c:pt>
                <c:pt idx="5">
                  <c:v>0.040804</c:v>
                </c:pt>
              </c:numCache>
            </c:numRef>
          </c:xVal>
          <c:yVal>
            <c:numRef>
              <c:f>'Таблица 3'!$B$4:$G$4</c:f>
              <c:numCache>
                <c:formatCode>0.00</c:formatCode>
                <c:ptCount val="6"/>
                <c:pt idx="0">
                  <c:v>0.0263721678221842</c:v>
                </c:pt>
                <c:pt idx="1">
                  <c:v>0.03419706696074</c:v>
                </c:pt>
                <c:pt idx="2">
                  <c:v>0.0413543900401637</c:v>
                </c:pt>
                <c:pt idx="3">
                  <c:v>0.0476105968521671</c:v>
                </c:pt>
                <c:pt idx="4">
                  <c:v>0.0646957226193292</c:v>
                </c:pt>
                <c:pt idx="5">
                  <c:v>0.0924862075051347</c:v>
                </c:pt>
              </c:numCache>
            </c:numRef>
          </c:yVal>
          <c:smooth val="1"/>
        </c:ser>
        <c:axId val="61646007"/>
        <c:axId val="94257112"/>
      </c:scatterChart>
      <c:valAx>
        <c:axId val="61646007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0" lang="en-US" sz="1000" strike="noStrike" u="none">
                    <a:solidFill>
                      <a:srgbClr val="595959"/>
                    </a:solidFill>
                    <a:uFillTx/>
                    <a:latin typeface="Calibri"/>
                  </a:rPr>
                  <a:t>R</a:t>
                </a:r>
                <a:r>
                  <a:rPr b="0" lang="en-US" sz="1000" strike="noStrike" u="none" baseline="30000">
                    <a:solidFill>
                      <a:srgbClr val="595959"/>
                    </a:solidFill>
                    <a:uFillTx/>
                    <a:latin typeface="Calibri"/>
                  </a:rPr>
                  <a:t>2</a:t>
                </a:r>
                <a:r>
                  <a:rPr b="0" lang="ru-RU" sz="1000" strike="noStrike" u="none">
                    <a:solidFill>
                      <a:srgbClr val="595959"/>
                    </a:solidFill>
                    <a:uFillTx/>
                    <a:latin typeface="Calibri"/>
                  </a:rPr>
                  <a:t>, м</a:t>
                </a:r>
                <a:r>
                  <a:rPr b="0" lang="ru-RU" sz="1000" strike="noStrike" u="none" baseline="30000">
                    <a:solidFill>
                      <a:srgbClr val="595959"/>
                    </a:solidFill>
                    <a:uFillTx/>
                    <a:latin typeface="Calibri"/>
                  </a:rPr>
                  <a:t>2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Calibri"/>
              </a:defRPr>
            </a:pPr>
          </a:p>
        </c:txPr>
        <c:crossAx val="94257112"/>
        <c:crosses val="autoZero"/>
        <c:crossBetween val="midCat"/>
      </c:valAx>
      <c:valAx>
        <c:axId val="9425711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0" lang="en-US" sz="1000" strike="noStrike" u="none">
                    <a:solidFill>
                      <a:srgbClr val="595959"/>
                    </a:solidFill>
                    <a:uFillTx/>
                    <a:latin typeface="Calibri"/>
                  </a:rPr>
                  <a:t>I, </a:t>
                </a:r>
                <a:r>
                  <a:rPr b="0" lang="ru-RU" sz="1000" strike="noStrike" u="none">
                    <a:solidFill>
                      <a:srgbClr val="595959"/>
                    </a:solidFill>
                    <a:uFillTx/>
                    <a:latin typeface="Calibri"/>
                  </a:rPr>
                  <a:t>кг*м</a:t>
                </a:r>
                <a:r>
                  <a:rPr b="0" lang="ru-RU" sz="1000" strike="noStrike" u="none" baseline="30000">
                    <a:solidFill>
                      <a:srgbClr val="595959"/>
                    </a:solidFill>
                    <a:uFillTx/>
                    <a:latin typeface="Calibri"/>
                  </a:rPr>
                  <a:t>2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Calibri"/>
              </a:defRPr>
            </a:pPr>
          </a:p>
        </c:txPr>
        <c:crossAx val="61646007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60840</xdr:colOff>
      <xdr:row>0</xdr:row>
      <xdr:rowOff>15120</xdr:rowOff>
    </xdr:from>
    <xdr:to>
      <xdr:col>17</xdr:col>
      <xdr:colOff>79560</xdr:colOff>
      <xdr:row>31</xdr:row>
      <xdr:rowOff>159480</xdr:rowOff>
    </xdr:to>
    <xdr:graphicFrame>
      <xdr:nvGraphicFramePr>
        <xdr:cNvPr id="0" name="Диаграмма 1"/>
        <xdr:cNvGraphicFramePr/>
      </xdr:nvGraphicFramePr>
      <xdr:xfrm>
        <a:off x="60840" y="15120"/>
        <a:ext cx="10414440" cy="6049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15</xdr:col>
      <xdr:colOff>213120</xdr:colOff>
      <xdr:row>30</xdr:row>
      <xdr:rowOff>127800</xdr:rowOff>
    </xdr:to>
    <xdr:graphicFrame>
      <xdr:nvGraphicFramePr>
        <xdr:cNvPr id="1" name="Диаграмма 1"/>
        <xdr:cNvGraphicFramePr/>
      </xdr:nvGraphicFramePr>
      <xdr:xfrm>
        <a:off x="0" y="0"/>
        <a:ext cx="9385560" cy="5842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17</xdr:col>
      <xdr:colOff>610920</xdr:colOff>
      <xdr:row>33</xdr:row>
      <xdr:rowOff>117000</xdr:rowOff>
    </xdr:to>
    <xdr:pic>
      <xdr:nvPicPr>
        <xdr:cNvPr id="2" name="Рисунок 3" descr=""/>
        <xdr:cNvPicPr/>
      </xdr:nvPicPr>
      <xdr:blipFill>
        <a:blip r:embed="rId1"/>
        <a:stretch/>
      </xdr:blipFill>
      <xdr:spPr>
        <a:xfrm>
          <a:off x="0" y="0"/>
          <a:ext cx="11006640" cy="64036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15</xdr:col>
      <xdr:colOff>213120</xdr:colOff>
      <xdr:row>30</xdr:row>
      <xdr:rowOff>127800</xdr:rowOff>
    </xdr:to>
    <xdr:graphicFrame>
      <xdr:nvGraphicFramePr>
        <xdr:cNvPr id="3" name="Диаграмма 1"/>
        <xdr:cNvGraphicFramePr/>
      </xdr:nvGraphicFramePr>
      <xdr:xfrm>
        <a:off x="0" y="0"/>
        <a:ext cx="9385560" cy="5842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8" activeCellId="0" sqref="A18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6.29"/>
  </cols>
  <sheetData>
    <row r="1" customFormat="false" ht="15" hidden="false" customHeight="false" outlineLevel="0" collapsed="false">
      <c r="A1" s="1" t="s">
        <v>0</v>
      </c>
    </row>
    <row r="2" customFormat="false" ht="41.75" hidden="false" customHeight="false" outlineLevel="0" collapsed="false">
      <c r="A2" s="1" t="s">
        <v>1</v>
      </c>
      <c r="B2" s="2" t="n">
        <v>1</v>
      </c>
      <c r="C2" s="2" t="n">
        <v>1</v>
      </c>
      <c r="D2" s="2" t="n">
        <v>1</v>
      </c>
      <c r="E2" s="2" t="n">
        <v>1</v>
      </c>
      <c r="F2" s="2"/>
      <c r="G2" s="2"/>
    </row>
    <row r="3" customFormat="false" ht="28.35" hidden="false" customHeight="false" outlineLevel="0" collapsed="false">
      <c r="A3" s="1" t="s">
        <v>2</v>
      </c>
      <c r="B3" s="2" t="n">
        <v>1</v>
      </c>
      <c r="C3" s="2" t="n">
        <v>1</v>
      </c>
      <c r="D3" s="2" t="n">
        <v>1</v>
      </c>
      <c r="E3" s="2" t="n">
        <v>1</v>
      </c>
      <c r="F3" s="2"/>
      <c r="G3" s="2"/>
    </row>
    <row r="4" customFormat="false" ht="15" hidden="false" customHeight="false" outlineLevel="0" collapsed="false">
      <c r="A4" s="1" t="s">
        <v>3</v>
      </c>
    </row>
    <row r="5" customFormat="false" ht="28.35" hidden="false" customHeight="false" outlineLevel="0" collapsed="false">
      <c r="A5" s="1" t="s">
        <v>4</v>
      </c>
    </row>
    <row r="6" customFormat="false" ht="28.35" hidden="false" customHeight="false" outlineLevel="0" collapsed="false">
      <c r="A6" s="1" t="s">
        <v>5</v>
      </c>
      <c r="B6" s="3"/>
    </row>
    <row r="7" customFormat="false" ht="15" hidden="false" customHeight="false" outlineLevel="0" collapsed="false">
      <c r="A7" s="1" t="s">
        <v>6</v>
      </c>
      <c r="B7" s="0" t="n">
        <f aca="false">B5*B5*B2*B2</f>
        <v>0</v>
      </c>
    </row>
    <row r="8" customFormat="false" ht="28.35" hidden="false" customHeight="false" outlineLevel="0" collapsed="false">
      <c r="A8" s="1" t="s">
        <v>7</v>
      </c>
      <c r="B8" s="0" t="n">
        <f aca="false">SQRT(SUM(7:7))</f>
        <v>0</v>
      </c>
    </row>
    <row r="9" customFormat="false" ht="28.35" hidden="false" customHeight="false" outlineLevel="0" collapsed="false">
      <c r="A9" s="1" t="s">
        <v>8</v>
      </c>
      <c r="B9" s="0" t="n">
        <f aca="false">B8/B3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false"/>
  </sheetPr>
  <dimension ref="A1:R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9.42"/>
    <col collapsed="false" customWidth="true" hidden="false" outlineLevel="0" max="3" min="3" style="0" width="9"/>
    <col collapsed="false" customWidth="true" hidden="false" outlineLevel="0" max="4" min="4" style="0" width="9.71"/>
    <col collapsed="false" customWidth="true" hidden="false" outlineLevel="0" max="5" min="5" style="0" width="9"/>
    <col collapsed="false" customWidth="true" hidden="false" outlineLevel="0" max="6" min="6" style="0" width="10.14"/>
    <col collapsed="false" customWidth="true" hidden="false" outlineLevel="0" max="7" min="7" style="0" width="14"/>
    <col collapsed="false" customWidth="true" hidden="false" outlineLevel="0" max="10" min="8" style="0" width="9"/>
    <col collapsed="false" customWidth="true" hidden="false" outlineLevel="0" max="12" min="12" style="0" width="9"/>
    <col collapsed="false" customWidth="true" hidden="false" outlineLevel="0" max="14" min="13" style="0" width="9.42"/>
    <col collapsed="false" customWidth="true" hidden="false" outlineLevel="0" max="18" min="15" style="0" width="9"/>
  </cols>
  <sheetData>
    <row r="1" customFormat="false" ht="41.75" hidden="false" customHeight="false" outlineLevel="0" collapsed="false">
      <c r="A1" s="4" t="s">
        <v>9</v>
      </c>
      <c r="B1" s="5" t="s">
        <v>10</v>
      </c>
      <c r="C1" s="6" t="s">
        <v>11</v>
      </c>
      <c r="D1" s="7" t="s">
        <v>12</v>
      </c>
      <c r="E1" s="8" t="s">
        <v>13</v>
      </c>
      <c r="F1" s="7" t="s">
        <v>14</v>
      </c>
      <c r="G1" s="9" t="s">
        <v>15</v>
      </c>
      <c r="H1" s="10" t="s">
        <v>16</v>
      </c>
      <c r="I1" s="11" t="s">
        <v>17</v>
      </c>
      <c r="J1" s="12" t="s">
        <v>18</v>
      </c>
      <c r="L1" s="9" t="s">
        <v>19</v>
      </c>
      <c r="M1" s="9" t="s">
        <v>20</v>
      </c>
      <c r="N1" s="13" t="s">
        <v>21</v>
      </c>
      <c r="O1" s="13" t="s">
        <v>22</v>
      </c>
      <c r="P1" s="13" t="s">
        <v>23</v>
      </c>
      <c r="Q1" s="13" t="s">
        <v>24</v>
      </c>
      <c r="R1" s="13" t="s">
        <v>25</v>
      </c>
    </row>
    <row r="2" customFormat="false" ht="15" hidden="false" customHeight="false" outlineLevel="0" collapsed="false">
      <c r="A2" s="14" t="n">
        <v>0.0816666666666666</v>
      </c>
      <c r="B2" s="15" t="n">
        <v>48.6916666666667</v>
      </c>
      <c r="C2" s="16" t="n">
        <f aca="false">(A2-$L$2)*(A2-$L$2)</f>
        <v>0.675214367346939</v>
      </c>
      <c r="D2" s="15" t="n">
        <f aca="false">(B2-$M$2)*(B2-$M$2)</f>
        <v>63998.3985342404</v>
      </c>
      <c r="E2" s="17" t="n">
        <f aca="false">A2-$L$2</f>
        <v>-0.821714285714286</v>
      </c>
      <c r="F2" s="15" t="n">
        <f aca="false">B2-$M$2</f>
        <v>-252.979047619048</v>
      </c>
      <c r="G2" s="18" t="n">
        <f aca="false">E2*F2</f>
        <v>207.876497414966</v>
      </c>
      <c r="H2" s="19" t="n">
        <f aca="false">B2-($O$2+$N$2*A2)</f>
        <v>0.424036966020935</v>
      </c>
      <c r="I2" s="20" t="n">
        <f aca="false">H2*H2</f>
        <v>0.17980734855224</v>
      </c>
      <c r="J2" s="21" t="n">
        <f aca="false">SQRT(4*$R$2+4*$Q$2*A2*A2)</f>
        <v>4.95761640972321</v>
      </c>
      <c r="K2" s="19"/>
      <c r="L2" s="19" t="n">
        <f aca="false">SUM(A:A)/COUNT(A:A)</f>
        <v>0.903380952380952</v>
      </c>
      <c r="M2" s="19" t="n">
        <f aca="false">SUM(B:B)/COUNT(B:B)</f>
        <v>301.670714285714</v>
      </c>
      <c r="N2" s="19" t="n">
        <f aca="false">SUM(G:G)/SUM(C:C)</f>
        <v>308.383447860828</v>
      </c>
      <c r="O2" s="19" t="n">
        <f aca="false">M2-N2*L2</f>
        <v>23.0829814586781</v>
      </c>
      <c r="P2" s="19" t="n">
        <f aca="false">SUM(C:C)</f>
        <v>1.90275698412698</v>
      </c>
      <c r="Q2" s="19" t="n">
        <f aca="false">1/P2*SUM(I:I)/(COUNT(I:I)-2)</f>
        <v>5.61351340766792</v>
      </c>
      <c r="R2" s="19" t="n">
        <f aca="false">(1/COUNT(I:I)+L2*L2/P2)*SUM(I:I)/(COUNT(I:I)-2)</f>
        <v>6.10705110067863</v>
      </c>
    </row>
    <row r="3" customFormat="false" ht="15" hidden="false" customHeight="false" outlineLevel="0" collapsed="false">
      <c r="A3" s="14" t="n">
        <v>0.384</v>
      </c>
      <c r="B3" s="15" t="n">
        <v>141.54</v>
      </c>
      <c r="C3" s="16" t="n">
        <f aca="false">(A3-$L$2)*(A3-$L$2)</f>
        <v>0.269756573696145</v>
      </c>
      <c r="D3" s="15" t="n">
        <f aca="false">(B3-$M$2)*(B3-$M$2)</f>
        <v>25641.8456576531</v>
      </c>
      <c r="E3" s="22" t="n">
        <f aca="false">A3-$L$2</f>
        <v>-0.519380952380952</v>
      </c>
      <c r="F3" s="15" t="n">
        <f aca="false">B3-$M$2</f>
        <v>-160.130714285714</v>
      </c>
      <c r="G3" s="18" t="n">
        <f aca="false">E3*F3</f>
        <v>83.1688428911565</v>
      </c>
      <c r="H3" s="19" t="n">
        <f aca="false">B3-($O$2+$N$2*A3)</f>
        <v>0.0377745627640707</v>
      </c>
      <c r="I3" s="15" t="n">
        <f aca="false">H3*H3</f>
        <v>0.00142691759201671</v>
      </c>
      <c r="J3" s="18" t="n">
        <f aca="false">SQRT(4*$R$2+4*$Q$2*A3*A3)</f>
        <v>5.26680067354735</v>
      </c>
      <c r="K3" s="23"/>
      <c r="L3" s="19"/>
      <c r="M3" s="19"/>
      <c r="N3" s="24"/>
      <c r="O3" s="24"/>
      <c r="P3" s="19"/>
      <c r="Q3" s="24" t="s">
        <v>26</v>
      </c>
      <c r="R3" s="24" t="s">
        <v>27</v>
      </c>
    </row>
    <row r="4" customFormat="false" ht="15" hidden="false" customHeight="false" outlineLevel="0" collapsed="false">
      <c r="A4" s="14" t="n">
        <v>0.665</v>
      </c>
      <c r="B4" s="15" t="n">
        <v>228.875</v>
      </c>
      <c r="C4" s="16" t="n">
        <f aca="false">(A4-$L$2)*(A4-$L$2)</f>
        <v>0.0568254784580499</v>
      </c>
      <c r="D4" s="15" t="n">
        <f aca="false">(B4-$M$2)*(B4-$M$2)</f>
        <v>5299.21601836735</v>
      </c>
      <c r="E4" s="22" t="n">
        <f aca="false">A4-$L$2</f>
        <v>-0.238380952380952</v>
      </c>
      <c r="F4" s="15" t="n">
        <f aca="false">B4-$M$2</f>
        <v>-72.7957142857143</v>
      </c>
      <c r="G4" s="18" t="n">
        <f aca="false">E4*F4</f>
        <v>17.3531117006803</v>
      </c>
      <c r="H4" s="19" t="n">
        <f aca="false">B4-($O$2+$N$2*A4)</f>
        <v>0.717025713871578</v>
      </c>
      <c r="I4" s="15" t="n">
        <f aca="false">H4*H4</f>
        <v>0.514125874353047</v>
      </c>
      <c r="J4" s="18" t="n">
        <f aca="false">SQRT(4*$R$2+4*$Q$2*A4*A4)</f>
        <v>5.86156534293855</v>
      </c>
      <c r="K4" s="19"/>
      <c r="L4" s="19"/>
      <c r="M4" s="19"/>
      <c r="N4" s="19"/>
      <c r="O4" s="19"/>
      <c r="P4" s="19"/>
      <c r="Q4" s="19" t="n">
        <f aca="false">SQRT(Q2)</f>
        <v>2.36928542131756</v>
      </c>
      <c r="R4" s="19" t="n">
        <f aca="false">SQRT(R2)</f>
        <v>2.47124484838687</v>
      </c>
    </row>
    <row r="5" customFormat="false" ht="15" hidden="false" customHeight="false" outlineLevel="0" collapsed="false">
      <c r="A5" s="14" t="n">
        <v>0.941666666666666</v>
      </c>
      <c r="B5" s="15" t="n">
        <v>310.741666666667</v>
      </c>
      <c r="C5" s="16" t="n">
        <f aca="false">(A5-$L$2)*(A5-$L$2)</f>
        <v>0.00146579591836734</v>
      </c>
      <c r="D5" s="15" t="n">
        <f aca="false">(B5-$M$2)*(B5-$M$2)</f>
        <v>82.2821770975051</v>
      </c>
      <c r="E5" s="22" t="n">
        <f aca="false">A5-$L$2</f>
        <v>0.0382857142857141</v>
      </c>
      <c r="F5" s="15" t="n">
        <f aca="false">B5-$M$2</f>
        <v>9.07095238095235</v>
      </c>
      <c r="G5" s="18" t="n">
        <f aca="false">E5*F5</f>
        <v>0.34728789115646</v>
      </c>
      <c r="H5" s="19" t="n">
        <f aca="false">B5-($O$2+$N$2*A5)</f>
        <v>-2.73572819429069</v>
      </c>
      <c r="I5" s="15" t="n">
        <f aca="false">H5*H5</f>
        <v>7.48420875303698</v>
      </c>
      <c r="J5" s="18" t="n">
        <f aca="false">SQRT(4*$R$2+4*$Q$2*A5*A5)</f>
        <v>6.65875548416194</v>
      </c>
      <c r="K5" s="19"/>
      <c r="L5" s="19"/>
      <c r="M5" s="19"/>
      <c r="N5" s="19"/>
      <c r="O5" s="19"/>
      <c r="P5" s="19"/>
      <c r="Q5" s="24" t="s">
        <v>28</v>
      </c>
      <c r="R5" s="24" t="s">
        <v>29</v>
      </c>
    </row>
    <row r="6" customFormat="false" ht="15" hidden="false" customHeight="false" outlineLevel="0" collapsed="false">
      <c r="A6" s="14" t="n">
        <v>1.176</v>
      </c>
      <c r="B6" s="15" t="n">
        <v>388.98</v>
      </c>
      <c r="C6" s="16" t="n">
        <f aca="false">(A6-$L$2)*(A6-$L$2)</f>
        <v>0.0743211451247167</v>
      </c>
      <c r="D6" s="15" t="n">
        <f aca="false">(B6-$M$2)*(B6-$M$2)</f>
        <v>7622.91137193877</v>
      </c>
      <c r="E6" s="22" t="n">
        <f aca="false">A6-$L$2</f>
        <v>0.272619047619048</v>
      </c>
      <c r="F6" s="15" t="n">
        <f aca="false">B6-$M$2</f>
        <v>87.3092857142857</v>
      </c>
      <c r="G6" s="18" t="n">
        <f aca="false">E6*F6</f>
        <v>23.8021743197279</v>
      </c>
      <c r="H6" s="19" t="n">
        <f aca="false">B6-($O$2+$N$2*A6)</f>
        <v>3.23808385698862</v>
      </c>
      <c r="I6" s="15" t="n">
        <f aca="false">H6*H6</f>
        <v>10.4851870648903</v>
      </c>
      <c r="J6" s="18" t="n">
        <f aca="false">SQRT(4*$R$2+4*$Q$2*A6*A6)</f>
        <v>7.44859863844511</v>
      </c>
      <c r="K6" s="19"/>
      <c r="L6" s="19"/>
      <c r="M6" s="19"/>
      <c r="N6" s="19"/>
      <c r="O6" s="19"/>
      <c r="P6" s="19"/>
      <c r="Q6" s="19" t="n">
        <f aca="false">Q4*2</f>
        <v>4.73857084263512</v>
      </c>
      <c r="R6" s="19" t="n">
        <f aca="false">R4*2</f>
        <v>4.94248969677373</v>
      </c>
    </row>
    <row r="7" customFormat="false" ht="15" hidden="false" customHeight="false" outlineLevel="0" collapsed="false">
      <c r="A7" s="14" t="n">
        <v>1.43633333333333</v>
      </c>
      <c r="B7" s="15" t="n">
        <v>461.101666666667</v>
      </c>
      <c r="C7" s="16" t="n">
        <f aca="false">(A7-$L$2)*(A7-$L$2)</f>
        <v>0.284038240362812</v>
      </c>
      <c r="D7" s="15" t="n">
        <f aca="false">(B7-$M$2)*(B7-$M$2)</f>
        <v>25418.2285770975</v>
      </c>
      <c r="E7" s="22" t="n">
        <f aca="false">A7-$L$2</f>
        <v>0.532952380952381</v>
      </c>
      <c r="F7" s="15" t="n">
        <f aca="false">B7-$M$2</f>
        <v>159.430952380952</v>
      </c>
      <c r="G7" s="18" t="n">
        <f aca="false">E7*F7</f>
        <v>84.9691056689342</v>
      </c>
      <c r="H7" s="19" t="n">
        <f aca="false">B7-($O$2+$N$2*A7)</f>
        <v>-4.92274040278005</v>
      </c>
      <c r="I7" s="15" t="n">
        <f aca="false">H7*H7</f>
        <v>24.2333730731631</v>
      </c>
      <c r="J7" s="18" t="n">
        <f aca="false">SQRT(4*$R$2+4*$Q$2*A7*A7)</f>
        <v>8.41142776746089</v>
      </c>
      <c r="K7" s="19"/>
      <c r="L7" s="19"/>
      <c r="M7" s="19"/>
      <c r="N7" s="19"/>
      <c r="O7" s="19"/>
      <c r="P7" s="19"/>
      <c r="Q7" s="19"/>
      <c r="R7" s="19"/>
    </row>
    <row r="8" customFormat="false" ht="15" hidden="false" customHeight="false" outlineLevel="0" collapsed="false">
      <c r="A8" s="14" t="n">
        <v>1.639</v>
      </c>
      <c r="B8" s="15" t="n">
        <v>531.765</v>
      </c>
      <c r="C8" s="16" t="n">
        <f aca="false">(A8-$L$2)*(A8-$L$2)</f>
        <v>0.541135383219955</v>
      </c>
      <c r="D8" s="15" t="n">
        <f aca="false">(B8-$M$2)*(B8-$M$2)</f>
        <v>52943.3803183674</v>
      </c>
      <c r="E8" s="22" t="n">
        <f aca="false">A8-$L$2</f>
        <v>0.735619047619048</v>
      </c>
      <c r="F8" s="15" t="n">
        <f aca="false">B8-$M$2</f>
        <v>230.094285714286</v>
      </c>
      <c r="G8" s="18" t="n">
        <f aca="false">E8*F8</f>
        <v>169.261739319728</v>
      </c>
      <c r="H8" s="19" t="n">
        <f aca="false">B8-($O$2+$N$2*A8)</f>
        <v>3.24154749742547</v>
      </c>
      <c r="I8" s="15" t="n">
        <f aca="false">H8*H8</f>
        <v>10.5076301780653</v>
      </c>
      <c r="J8" s="18" t="n">
        <f aca="false">SQRT(4*$R$2+4*$Q$2*A8*A8)</f>
        <v>9.20581339186898</v>
      </c>
      <c r="K8" s="19"/>
      <c r="L8" s="19"/>
      <c r="M8" s="19"/>
      <c r="N8" s="19"/>
      <c r="O8" s="19"/>
      <c r="P8" s="19"/>
      <c r="Q8" s="19"/>
      <c r="R8" s="19"/>
    </row>
    <row r="9" customFormat="false" ht="15" hidden="false" customHeight="false" outlineLevel="0" collapsed="false">
      <c r="A9" s="14"/>
      <c r="B9" s="15"/>
      <c r="C9" s="16"/>
      <c r="D9" s="15"/>
      <c r="E9" s="22"/>
      <c r="F9" s="15"/>
      <c r="G9" s="18"/>
      <c r="H9" s="19"/>
      <c r="I9" s="15"/>
      <c r="J9" s="18"/>
      <c r="K9" s="19"/>
      <c r="L9" s="19"/>
      <c r="M9" s="19"/>
      <c r="N9" s="19"/>
      <c r="O9" s="19"/>
      <c r="P9" s="19"/>
      <c r="Q9" s="19"/>
      <c r="R9" s="1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false"/>
  </sheetPr>
  <dimension ref="A1:A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7" activeCellId="0" sqref="A7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0" t="s">
        <v>30</v>
      </c>
    </row>
    <row r="3" customFormat="false" ht="15" hidden="false" customHeight="false" outlineLevel="0" collapsed="false">
      <c r="A3" s="0" t="s">
        <v>31</v>
      </c>
    </row>
    <row r="5" customFormat="false" ht="15" hidden="false" customHeight="false" outlineLevel="0" collapsed="false">
      <c r="A5" s="0" t="s">
        <v>32</v>
      </c>
    </row>
    <row r="7" customFormat="false" ht="15" hidden="false" customHeight="false" outlineLevel="0" collapsed="false">
      <c r="A7" s="0" t="s">
        <v>33</v>
      </c>
    </row>
    <row r="9" customFormat="false" ht="15" hidden="false" customHeight="false" outlineLevel="0" collapsed="false">
      <c r="A9" s="0" t="s">
        <v>34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false"/>
  </sheetPr>
  <dimension ref="A1:G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6" activeCellId="0" sqref="H16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3.42"/>
  </cols>
  <sheetData>
    <row r="1" customFormat="false" ht="15" hidden="false" customHeight="false" outlineLevel="0" collapsed="false">
      <c r="A1" s="25" t="s">
        <v>35</v>
      </c>
      <c r="B1" s="25" t="s">
        <v>36</v>
      </c>
      <c r="C1" s="25"/>
      <c r="D1" s="25"/>
      <c r="E1" s="25"/>
      <c r="F1" s="25"/>
      <c r="G1" s="25"/>
    </row>
    <row r="2" customFormat="false" ht="15" hidden="false" customHeight="false" outlineLevel="0" collapsed="false">
      <c r="A2" s="25"/>
      <c r="B2" s="25" t="s">
        <v>37</v>
      </c>
      <c r="C2" s="25" t="s">
        <v>38</v>
      </c>
      <c r="D2" s="25" t="s">
        <v>39</v>
      </c>
      <c r="E2" s="25" t="s">
        <v>40</v>
      </c>
      <c r="F2" s="25" t="s">
        <v>41</v>
      </c>
      <c r="G2" s="25" t="s">
        <v>42</v>
      </c>
    </row>
    <row r="3" customFormat="false" ht="15" hidden="false" customHeight="false" outlineLevel="0" collapsed="false">
      <c r="A3" s="26" t="n">
        <f aca="false">0.047+0.22</f>
        <v>0.267</v>
      </c>
      <c r="B3" s="27" t="n">
        <v>4.62</v>
      </c>
      <c r="C3" s="27" t="n">
        <v>5.36</v>
      </c>
      <c r="D3" s="27" t="n">
        <v>6.27</v>
      </c>
      <c r="E3" s="27" t="n">
        <v>7.23</v>
      </c>
      <c r="F3" s="27" t="n">
        <v>8.22</v>
      </c>
      <c r="G3" s="27" t="n">
        <v>8.82</v>
      </c>
    </row>
    <row r="4" customFormat="false" ht="15" hidden="false" customHeight="false" outlineLevel="0" collapsed="false">
      <c r="A4" s="26"/>
      <c r="B4" s="27" t="n">
        <v>5.01</v>
      </c>
      <c r="C4" s="27" t="n">
        <v>5.98</v>
      </c>
      <c r="D4" s="27" t="n">
        <v>6.08</v>
      </c>
      <c r="E4" s="27" t="n">
        <v>7.08</v>
      </c>
      <c r="F4" s="27" t="n">
        <v>8.43</v>
      </c>
      <c r="G4" s="27" t="n">
        <v>9.09</v>
      </c>
    </row>
    <row r="5" customFormat="false" ht="15" hidden="false" customHeight="false" outlineLevel="0" collapsed="false">
      <c r="A5" s="26"/>
      <c r="B5" s="27" t="n">
        <v>4.83</v>
      </c>
      <c r="C5" s="27" t="n">
        <v>5.38</v>
      </c>
      <c r="D5" s="27" t="n">
        <v>6.27</v>
      </c>
      <c r="E5" s="27" t="n">
        <v>7.63</v>
      </c>
      <c r="F5" s="27" t="n">
        <v>8.56</v>
      </c>
      <c r="G5" s="27" t="n">
        <v>9.16</v>
      </c>
    </row>
    <row r="6" customFormat="false" ht="15" hidden="false" customHeight="false" outlineLevel="0" collapsed="false">
      <c r="A6" s="26"/>
      <c r="B6" s="27" t="n">
        <v>4.59</v>
      </c>
      <c r="C6" s="27" t="n">
        <v>5.45</v>
      </c>
      <c r="D6" s="27" t="n">
        <v>6.13</v>
      </c>
      <c r="E6" s="27" t="n">
        <v>7.45</v>
      </c>
      <c r="F6" s="27" t="n">
        <v>8.34</v>
      </c>
      <c r="G6" s="27" t="n">
        <v>8.99</v>
      </c>
    </row>
    <row r="7" customFormat="false" ht="15" hidden="false" customHeight="false" outlineLevel="0" collapsed="false">
      <c r="A7" s="26" t="n">
        <f aca="false">0.047+0.22*2</f>
        <v>0.487</v>
      </c>
      <c r="B7" s="27" t="n">
        <v>3.56</v>
      </c>
      <c r="C7" s="27" t="n">
        <v>4.02</v>
      </c>
      <c r="D7" s="27" t="n">
        <v>4.62</v>
      </c>
      <c r="E7" s="27" t="n">
        <v>5.76</v>
      </c>
      <c r="F7" s="27" t="n">
        <v>5.97</v>
      </c>
      <c r="G7" s="27" t="n">
        <v>7.26</v>
      </c>
    </row>
    <row r="8" customFormat="false" ht="15" hidden="false" customHeight="false" outlineLevel="0" collapsed="false">
      <c r="A8" s="26"/>
      <c r="B8" s="27" t="n">
        <v>3.53</v>
      </c>
      <c r="C8" s="27" t="n">
        <v>3.89</v>
      </c>
      <c r="D8" s="27" t="n">
        <v>4.54</v>
      </c>
      <c r="E8" s="27" t="n">
        <v>5.19</v>
      </c>
      <c r="F8" s="27" t="n">
        <v>6.47</v>
      </c>
      <c r="G8" s="27" t="n">
        <v>6.45</v>
      </c>
    </row>
    <row r="9" customFormat="false" ht="15" hidden="false" customHeight="false" outlineLevel="0" collapsed="false">
      <c r="A9" s="26"/>
      <c r="B9" s="27" t="n">
        <v>3.66</v>
      </c>
      <c r="C9" s="27" t="n">
        <v>4.11</v>
      </c>
      <c r="D9" s="27" t="n">
        <v>4.77</v>
      </c>
      <c r="E9" s="27" t="n">
        <v>5.38</v>
      </c>
      <c r="F9" s="27" t="n">
        <v>6.24</v>
      </c>
      <c r="G9" s="27" t="n">
        <v>6.89</v>
      </c>
    </row>
    <row r="10" customFormat="false" ht="15" hidden="false" customHeight="false" outlineLevel="0" collapsed="false">
      <c r="A10" s="26"/>
      <c r="B10" s="27" t="n">
        <v>3.5</v>
      </c>
      <c r="C10" s="27" t="n">
        <v>3.97</v>
      </c>
      <c r="D10" s="27" t="n">
        <v>4.56</v>
      </c>
      <c r="E10" s="27" t="n">
        <v>5.47</v>
      </c>
      <c r="F10" s="27" t="n">
        <v>6.13</v>
      </c>
      <c r="G10" s="27" t="n">
        <v>6.65</v>
      </c>
    </row>
    <row r="11" customFormat="false" ht="15" hidden="false" customHeight="false" outlineLevel="0" collapsed="false">
      <c r="A11" s="26" t="n">
        <f aca="false">0.047+0.22*3</f>
        <v>0.707</v>
      </c>
      <c r="B11" s="27" t="n">
        <v>3.04</v>
      </c>
      <c r="C11" s="27" t="n">
        <v>3.47</v>
      </c>
      <c r="D11" s="27" t="n">
        <v>3.83</v>
      </c>
      <c r="E11" s="27" t="n">
        <v>4.33</v>
      </c>
      <c r="F11" s="27" t="n">
        <v>4.9</v>
      </c>
      <c r="G11" s="27" t="n">
        <v>5.73</v>
      </c>
    </row>
    <row r="12" customFormat="false" ht="15" hidden="false" customHeight="false" outlineLevel="0" collapsed="false">
      <c r="A12" s="26"/>
      <c r="B12" s="27" t="n">
        <v>3.05</v>
      </c>
      <c r="C12" s="27" t="n">
        <v>3.43</v>
      </c>
      <c r="D12" s="27" t="n">
        <v>4.11</v>
      </c>
      <c r="E12" s="27" t="n">
        <v>4.55</v>
      </c>
      <c r="F12" s="27" t="n">
        <v>4.64</v>
      </c>
      <c r="G12" s="27" t="n">
        <v>5.48</v>
      </c>
    </row>
    <row r="13" customFormat="false" ht="15" hidden="false" customHeight="false" outlineLevel="0" collapsed="false">
      <c r="A13" s="26"/>
      <c r="B13" s="27" t="n">
        <v>2.92</v>
      </c>
      <c r="C13" s="27" t="n">
        <v>3.48</v>
      </c>
      <c r="D13" s="27" t="n">
        <v>4.28</v>
      </c>
      <c r="E13" s="27" t="n">
        <v>4.47</v>
      </c>
      <c r="F13" s="27" t="n">
        <v>4.77</v>
      </c>
      <c r="G13" s="27" t="n">
        <v>5.46</v>
      </c>
    </row>
    <row r="14" customFormat="false" ht="15" hidden="false" customHeight="false" outlineLevel="0" collapsed="false">
      <c r="A14" s="26"/>
      <c r="B14" s="27" t="n">
        <v>2.96</v>
      </c>
      <c r="C14" s="27" t="n">
        <v>3.56</v>
      </c>
      <c r="D14" s="27" t="n">
        <v>4.01</v>
      </c>
      <c r="E14" s="27" t="n">
        <v>4.36</v>
      </c>
      <c r="F14" s="27" t="n">
        <v>4.69</v>
      </c>
      <c r="G14" s="27" t="n">
        <v>5.68</v>
      </c>
    </row>
    <row r="15" customFormat="false" ht="15" hidden="false" customHeight="false" outlineLevel="0" collapsed="false">
      <c r="A15" s="26" t="n">
        <f aca="false">0.047+0.22*4</f>
        <v>0.927</v>
      </c>
      <c r="B15" s="27" t="n">
        <v>2.64</v>
      </c>
      <c r="C15" s="27" t="n">
        <v>3.05</v>
      </c>
      <c r="D15" s="27" t="n">
        <v>3.44</v>
      </c>
      <c r="E15" s="27" t="n">
        <v>4.1</v>
      </c>
      <c r="F15" s="27" t="n">
        <v>4.43</v>
      </c>
      <c r="G15" s="27" t="n">
        <v>5</v>
      </c>
    </row>
    <row r="16" customFormat="false" ht="15" hidden="false" customHeight="false" outlineLevel="0" collapsed="false">
      <c r="A16" s="26"/>
      <c r="B16" s="27" t="n">
        <v>2.6</v>
      </c>
      <c r="C16" s="27" t="n">
        <v>2.92</v>
      </c>
      <c r="D16" s="27" t="n">
        <v>3.35</v>
      </c>
      <c r="E16" s="27" t="n">
        <v>3.76</v>
      </c>
      <c r="F16" s="27" t="n">
        <v>4.66</v>
      </c>
      <c r="G16" s="27" t="n">
        <v>5.22</v>
      </c>
    </row>
    <row r="17" customFormat="false" ht="15" hidden="false" customHeight="false" outlineLevel="0" collapsed="false">
      <c r="A17" s="26"/>
      <c r="B17" s="27" t="n">
        <v>2.67</v>
      </c>
      <c r="C17" s="27" t="n">
        <v>3.2</v>
      </c>
      <c r="D17" s="27" t="n">
        <v>3.3</v>
      </c>
      <c r="E17" s="27" t="n">
        <v>3.75</v>
      </c>
      <c r="F17" s="27" t="n">
        <v>4.53</v>
      </c>
      <c r="G17" s="27" t="n">
        <v>5.13</v>
      </c>
    </row>
    <row r="18" customFormat="false" ht="15" hidden="false" customHeight="false" outlineLevel="0" collapsed="false">
      <c r="A18" s="26"/>
      <c r="B18" s="27" t="n">
        <v>2.71</v>
      </c>
      <c r="C18" s="27" t="n">
        <v>3.08</v>
      </c>
      <c r="D18" s="27" t="n">
        <v>3.41</v>
      </c>
      <c r="E18" s="27" t="n">
        <v>3.84</v>
      </c>
      <c r="F18" s="27" t="n">
        <v>4.68</v>
      </c>
      <c r="G18" s="27" t="n">
        <v>5.09</v>
      </c>
    </row>
  </sheetData>
  <mergeCells count="6">
    <mergeCell ref="A1:A2"/>
    <mergeCell ref="B1:G1"/>
    <mergeCell ref="A3:A6"/>
    <mergeCell ref="A7:A10"/>
    <mergeCell ref="A11:A14"/>
    <mergeCell ref="A15:A1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false"/>
  </sheetPr>
  <dimension ref="A1:E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31" activeCellId="0" sqref="D3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3.42"/>
  </cols>
  <sheetData>
    <row r="1" customFormat="false" ht="18" hidden="false" customHeight="true" outlineLevel="0" collapsed="false"/>
    <row r="2" customFormat="false" ht="15" hidden="false" customHeight="false" outlineLevel="0" collapsed="false">
      <c r="A2" s="28" t="s">
        <v>35</v>
      </c>
      <c r="B2" s="28" t="s">
        <v>43</v>
      </c>
      <c r="C2" s="29" t="s">
        <v>44</v>
      </c>
      <c r="D2" s="29" t="s">
        <v>45</v>
      </c>
      <c r="E2" s="30" t="s">
        <v>46</v>
      </c>
    </row>
    <row r="3" customFormat="false" ht="15" hidden="false" customHeight="false" outlineLevel="0" collapsed="false">
      <c r="A3" s="26" t="n">
        <f aca="false">'Таблица 1'!A3</f>
        <v>0.267</v>
      </c>
      <c r="B3" s="27" t="n">
        <f aca="false">'Таблица 1'!B6</f>
        <v>4.59</v>
      </c>
      <c r="C3" s="27" t="n">
        <f aca="false">'Параметры установки'!$A$2*2/B3/B3</f>
        <v>0.0664511749991694</v>
      </c>
      <c r="D3" s="27" t="n">
        <f aca="false">2*C3/'Параметры установки'!$B$2</f>
        <v>2.88918152170302</v>
      </c>
      <c r="E3" s="27" t="n">
        <f aca="false">$A$3*'Параметры установки'!$B$2/2*(9.8-C3)</f>
        <v>0.0597737233343301</v>
      </c>
    </row>
    <row r="4" customFormat="false" ht="15" hidden="false" customHeight="false" outlineLevel="0" collapsed="false">
      <c r="A4" s="26"/>
      <c r="B4" s="27" t="n">
        <f aca="false">'Таблица 1'!C6</f>
        <v>5.45</v>
      </c>
      <c r="C4" s="27" t="n">
        <f aca="false">'Параметры установки'!$A$2*2/B4/B4</f>
        <v>0.0471340796229274</v>
      </c>
      <c r="D4" s="27" t="n">
        <f aca="false">2*C4/'Параметры установки'!$B$2</f>
        <v>2.04930780969249</v>
      </c>
      <c r="E4" s="27" t="n">
        <f aca="false">$A$3*'Параметры установки'!$B$2/2*(9.8-C4)</f>
        <v>0.0598923496170356</v>
      </c>
    </row>
    <row r="5" customFormat="false" ht="15" hidden="false" customHeight="false" outlineLevel="0" collapsed="false">
      <c r="A5" s="26"/>
      <c r="B5" s="27" t="n">
        <f aca="false">'Таблица 1'!D6</f>
        <v>6.13</v>
      </c>
      <c r="C5" s="27" t="n">
        <f aca="false">'Параметры установки'!$A$2*2/B5/B5</f>
        <v>0.0372569317852191</v>
      </c>
      <c r="D5" s="27" t="n">
        <f aca="false">2*C5/'Параметры установки'!$B$2</f>
        <v>1.61986659935735</v>
      </c>
      <c r="E5" s="27" t="n">
        <f aca="false">$A$3*'Параметры установки'!$B$2/2*(9.8-C5)</f>
        <v>0.059953005181907</v>
      </c>
    </row>
    <row r="6" customFormat="false" ht="15" hidden="false" customHeight="false" outlineLevel="0" collapsed="false">
      <c r="A6" s="26"/>
      <c r="B6" s="27" t="n">
        <f aca="false">'Таблица 1'!E6</f>
        <v>7.45</v>
      </c>
      <c r="C6" s="27" t="n">
        <f aca="false">'Параметры установки'!$A$2*2/B6/B6</f>
        <v>0.0252240890049998</v>
      </c>
      <c r="D6" s="27" t="n">
        <f aca="false">2*C6/'Параметры установки'!$B$2</f>
        <v>1.09669952195651</v>
      </c>
      <c r="E6" s="27" t="n">
        <f aca="false">$A$3*'Параметры установки'!$B$2/2*(9.8-C6)</f>
        <v>0.0600268988694203</v>
      </c>
    </row>
    <row r="7" customFormat="false" ht="15" hidden="false" customHeight="false" outlineLevel="0" collapsed="false">
      <c r="A7" s="26"/>
      <c r="B7" s="27" t="n">
        <f aca="false">'Таблица 1'!F6</f>
        <v>8.34</v>
      </c>
      <c r="C7" s="27" t="n">
        <f aca="false">'Параметры установки'!$A$2*2/B7/B7</f>
        <v>0.0201277826659536</v>
      </c>
      <c r="D7" s="27" t="n">
        <f aca="false">2*C7/'Параметры установки'!$B$2</f>
        <v>0.875120985476242</v>
      </c>
      <c r="E7" s="27" t="n">
        <f aca="false">$A$3*'Параметры установки'!$B$2/2*(9.8-C7)</f>
        <v>0.0600581952866484</v>
      </c>
    </row>
    <row r="8" customFormat="false" ht="15" hidden="false" customHeight="false" outlineLevel="0" collapsed="false">
      <c r="A8" s="26"/>
      <c r="B8" s="27" t="n">
        <f aca="false">'Таблица 1'!G6</f>
        <v>8.99</v>
      </c>
      <c r="C8" s="27" t="n">
        <f aca="false">'Параметры установки'!$A$2*2/B8/B8</f>
        <v>0.0173224235060338</v>
      </c>
      <c r="D8" s="27" t="n">
        <f aca="false">2*C8/'Параметры установки'!$B$2</f>
        <v>0.753148848088425</v>
      </c>
      <c r="E8" s="27" t="n">
        <f aca="false">$A$3*'Параметры установки'!$B$2/2*(9.8-C8)</f>
        <v>0.0600754229972495</v>
      </c>
    </row>
    <row r="9" customFormat="false" ht="15" hidden="false" customHeight="false" outlineLevel="0" collapsed="false">
      <c r="A9" s="26" t="n">
        <f aca="false">'Таблица 1'!A7</f>
        <v>0.487</v>
      </c>
      <c r="B9" s="27" t="n">
        <f aca="false">'Таблица 1'!B10</f>
        <v>3.5</v>
      </c>
      <c r="C9" s="27" t="n">
        <f aca="false">'Параметры установки'!$A$2*2/B9/B9</f>
        <v>0.114285714285714</v>
      </c>
      <c r="D9" s="27" t="n">
        <f aca="false">2*C9/'Параметры установки'!$B$2</f>
        <v>4.96894409937888</v>
      </c>
      <c r="E9" s="27" t="n">
        <f aca="false">$A$9*'Параметры установки'!$B$2/2*(9.8-C9)</f>
        <v>0.108489685714286</v>
      </c>
    </row>
    <row r="10" customFormat="false" ht="15" hidden="false" customHeight="false" outlineLevel="0" collapsed="false">
      <c r="A10" s="26"/>
      <c r="B10" s="27" t="n">
        <f aca="false">'Таблица 1'!C10</f>
        <v>3.97</v>
      </c>
      <c r="C10" s="27" t="n">
        <f aca="false">'Параметры установки'!$A$2*2/B10/B10</f>
        <v>0.0888274146780958</v>
      </c>
      <c r="D10" s="27" t="n">
        <f aca="false">2*C10/'Параметры установки'!$B$2</f>
        <v>3.86206150774329</v>
      </c>
      <c r="E10" s="27" t="n">
        <f aca="false">$A$9*'Параметры установки'!$B$2/2*(9.8-C10)</f>
        <v>0.108774844128191</v>
      </c>
    </row>
    <row r="11" customFormat="false" ht="15" hidden="false" customHeight="false" outlineLevel="0" collapsed="false">
      <c r="A11" s="26"/>
      <c r="B11" s="27" t="n">
        <f aca="false">'Таблица 1'!D10</f>
        <v>4.56</v>
      </c>
      <c r="C11" s="27" t="n">
        <f aca="false">'Параметры установки'!$A$2*2/B11/B11</f>
        <v>0.0673284087411511</v>
      </c>
      <c r="D11" s="27" t="n">
        <f aca="false">2*C11/'Параметры установки'!$B$2</f>
        <v>2.92732211918048</v>
      </c>
      <c r="E11" s="27" t="n">
        <f aca="false">$A$9*'Параметры установки'!$B$2/2*(9.8-C11)</f>
        <v>0.10901565449369</v>
      </c>
    </row>
    <row r="12" customFormat="false" ht="15" hidden="false" customHeight="false" outlineLevel="0" collapsed="false">
      <c r="A12" s="26"/>
      <c r="B12" s="27" t="n">
        <f aca="false">'Таблица 1'!E10</f>
        <v>5.47</v>
      </c>
      <c r="C12" s="27" t="n">
        <f aca="false">'Параметры установки'!$A$2*2/B12/B12</f>
        <v>0.046790036395964</v>
      </c>
      <c r="D12" s="27" t="n">
        <f aca="false">2*C12/'Параметры установки'!$B$2</f>
        <v>2.03434940852018</v>
      </c>
      <c r="E12" s="27" t="n">
        <f aca="false">$A$9*'Параметры установки'!$B$2/2*(9.8-C12)</f>
        <v>0.109245704802329</v>
      </c>
    </row>
    <row r="13" customFormat="false" ht="15" hidden="false" customHeight="false" outlineLevel="0" collapsed="false">
      <c r="A13" s="26"/>
      <c r="B13" s="27" t="n">
        <f aca="false">'Таблица 1'!F10</f>
        <v>6.13</v>
      </c>
      <c r="C13" s="27" t="n">
        <f aca="false">'Параметры установки'!$A$2*2/B13/B13</f>
        <v>0.0372569317852191</v>
      </c>
      <c r="D13" s="27" t="n">
        <f aca="false">2*C13/'Параметры установки'!$B$2</f>
        <v>1.61986659935735</v>
      </c>
      <c r="E13" s="27" t="n">
        <f aca="false">$A$9*'Параметры установки'!$B$2/2*(9.8-C13)</f>
        <v>0.109352485107074</v>
      </c>
    </row>
    <row r="14" customFormat="false" ht="15" hidden="false" customHeight="false" outlineLevel="0" collapsed="false">
      <c r="A14" s="26"/>
      <c r="B14" s="27" t="n">
        <f aca="false">'Таблица 1'!G10</f>
        <v>6.65</v>
      </c>
      <c r="C14" s="27" t="n">
        <f aca="false">'Параметры установки'!$A$2*2/B14/B14</f>
        <v>0.0316580925999209</v>
      </c>
      <c r="D14" s="27" t="n">
        <f aca="false">2*C14/'Параметры установки'!$B$2</f>
        <v>1.37643880869221</v>
      </c>
      <c r="E14" s="27" t="n">
        <f aca="false">$A$9*'Параметры установки'!$B$2/2*(9.8-C14)</f>
        <v>0.109415197704788</v>
      </c>
    </row>
    <row r="15" customFormat="false" ht="15" hidden="false" customHeight="false" outlineLevel="0" collapsed="false">
      <c r="A15" s="26" t="n">
        <f aca="false">'Таблица 1'!A11</f>
        <v>0.707</v>
      </c>
      <c r="B15" s="27" t="n">
        <f aca="false">'Таблица 1'!B14</f>
        <v>2.96</v>
      </c>
      <c r="C15" s="27" t="n">
        <f aca="false">'Параметры установки'!$A$2*2/B15/B15</f>
        <v>0.159788166544923</v>
      </c>
      <c r="D15" s="27" t="n">
        <f aca="false">2*C15/'Параметры установки'!$B$2</f>
        <v>6.94731158890971</v>
      </c>
      <c r="E15" s="27" t="n">
        <f aca="false">$A$15*'Параметры установки'!$B$2/2*(9.8-C15)</f>
        <v>0.156759484623813</v>
      </c>
    </row>
    <row r="16" customFormat="false" ht="15" hidden="false" customHeight="false" outlineLevel="0" collapsed="false">
      <c r="A16" s="26"/>
      <c r="B16" s="27" t="n">
        <f aca="false">'Таблица 1'!C14</f>
        <v>3.56</v>
      </c>
      <c r="C16" s="27" t="n">
        <f aca="false">'Параметры установки'!$A$2*2/B16/B16</f>
        <v>0.11046585027143</v>
      </c>
      <c r="D16" s="27" t="n">
        <f aca="false">2*C16/'Параметры установки'!$B$2</f>
        <v>4.80286305527958</v>
      </c>
      <c r="E16" s="27" t="n">
        <f aca="false">$A$15*'Параметры установки'!$B$2/2*(9.8-C16)</f>
        <v>0.157561514808736</v>
      </c>
    </row>
    <row r="17" customFormat="false" ht="15" hidden="false" customHeight="false" outlineLevel="0" collapsed="false">
      <c r="A17" s="26"/>
      <c r="B17" s="27" t="n">
        <f aca="false">'Таблица 1'!D14</f>
        <v>4.01</v>
      </c>
      <c r="C17" s="27" t="n">
        <f aca="false">'Параметры установки'!$A$2*2/B17/B17</f>
        <v>0.0870641351732887</v>
      </c>
      <c r="D17" s="27" t="n">
        <f aca="false">2*C17/'Параметры установки'!$B$2</f>
        <v>3.78539718144734</v>
      </c>
      <c r="E17" s="27" t="n">
        <f aca="false">$A$15*'Параметры установки'!$B$2/2*(9.8-C17)</f>
        <v>0.157942050097947</v>
      </c>
    </row>
    <row r="18" customFormat="false" ht="15" hidden="false" customHeight="false" outlineLevel="0" collapsed="false">
      <c r="A18" s="26"/>
      <c r="B18" s="27" t="n">
        <f aca="false">'Таблица 1'!E14</f>
        <v>4.36</v>
      </c>
      <c r="C18" s="27" t="n">
        <f aca="false">'Параметры установки'!$A$2*2/B18/B18</f>
        <v>0.073646999410824</v>
      </c>
      <c r="D18" s="27" t="n">
        <f aca="false">2*C18/'Параметры установки'!$B$2</f>
        <v>3.20204345264452</v>
      </c>
      <c r="E18" s="27" t="n">
        <f aca="false">$A$15*'Параметры установки'!$B$2/2*(9.8-C18)</f>
        <v>0.158160226142581</v>
      </c>
    </row>
    <row r="19" customFormat="false" ht="15" hidden="false" customHeight="false" outlineLevel="0" collapsed="false">
      <c r="A19" s="26"/>
      <c r="B19" s="27" t="n">
        <f aca="false">'Таблица 1'!F14</f>
        <v>4.69</v>
      </c>
      <c r="C19" s="27" t="n">
        <f aca="false">'Параметры установки'!$A$2*2/B19/B19</f>
        <v>0.0636476466282659</v>
      </c>
      <c r="D19" s="27" t="n">
        <f aca="false">2*C19/'Параметры установки'!$B$2</f>
        <v>2.76728898383765</v>
      </c>
      <c r="E19" s="27" t="n">
        <f aca="false">$A$15*'Параметры установки'!$B$2/2*(9.8-C19)</f>
        <v>0.158322825618178</v>
      </c>
    </row>
    <row r="20" customFormat="false" ht="15" hidden="false" customHeight="false" outlineLevel="0" collapsed="false">
      <c r="A20" s="26"/>
      <c r="B20" s="27" t="n">
        <f aca="false">'Таблица 1'!G14</f>
        <v>5.68</v>
      </c>
      <c r="C20" s="27" t="n">
        <f aca="false">'Параметры установки'!$A$2*2/B20/B20</f>
        <v>0.0433941678238445</v>
      </c>
      <c r="D20" s="27" t="n">
        <f aca="false">2*C20/'Параметры установки'!$B$2</f>
        <v>1.8867029488628</v>
      </c>
      <c r="E20" s="27" t="n">
        <f aca="false">$A$15*'Параметры установки'!$B$2/2*(9.8-C20)</f>
        <v>0.158652167437017</v>
      </c>
    </row>
    <row r="21" customFormat="false" ht="15" hidden="false" customHeight="false" outlineLevel="0" collapsed="false">
      <c r="A21" s="26" t="n">
        <f aca="false">'Таблица 1'!A15</f>
        <v>0.927</v>
      </c>
      <c r="B21" s="27" t="n">
        <f aca="false">'Таблица 1'!B18</f>
        <v>2.71</v>
      </c>
      <c r="C21" s="27" t="n">
        <f aca="false">'Параметры установки'!$A$2*2/B21/B21</f>
        <v>0.190629212565188</v>
      </c>
      <c r="D21" s="27" t="n">
        <f aca="false">2*C21/'Параметры установки'!$B$2</f>
        <v>8.28822663326906</v>
      </c>
      <c r="E21" s="27" t="n">
        <f aca="false">$A$21*'Параметры установки'!$B$2/2*(9.8-C21)</f>
        <v>0.204881394558898</v>
      </c>
    </row>
    <row r="22" customFormat="false" ht="15" hidden="false" customHeight="false" outlineLevel="0" collapsed="false">
      <c r="A22" s="26"/>
      <c r="B22" s="27" t="n">
        <f aca="false">'Таблица 1'!C18</f>
        <v>3.08</v>
      </c>
      <c r="C22" s="27" t="n">
        <f aca="false">'Параметры установки'!$A$2*2/B22/B22</f>
        <v>0.147579693034238</v>
      </c>
      <c r="D22" s="27" t="n">
        <f aca="false">2*C22/'Параметры установки'!$B$2</f>
        <v>6.41650839279298</v>
      </c>
      <c r="E22" s="27" t="n">
        <f aca="false">$A$21*'Параметры установки'!$B$2/2*(9.8-C22)</f>
        <v>0.205799253364817</v>
      </c>
    </row>
    <row r="23" customFormat="false" ht="15" hidden="false" customHeight="false" outlineLevel="0" collapsed="false">
      <c r="A23" s="26"/>
      <c r="B23" s="27" t="n">
        <f aca="false">'Таблица 1'!D18</f>
        <v>3.41</v>
      </c>
      <c r="C23" s="27" t="n">
        <f aca="false">'Параметры установки'!$A$2*2/B23/B23</f>
        <v>0.120398001393177</v>
      </c>
      <c r="D23" s="27" t="n">
        <f aca="false">2*C23/'Параметры установки'!$B$2</f>
        <v>5.23469571274682</v>
      </c>
      <c r="E23" s="27" t="n">
        <f aca="false">$A$21*'Параметры установки'!$B$2/2*(9.8-C23)</f>
        <v>0.206378794212296</v>
      </c>
    </row>
    <row r="24" customFormat="false" ht="15" hidden="false" customHeight="false" outlineLevel="0" collapsed="false">
      <c r="A24" s="26"/>
      <c r="B24" s="27" t="n">
        <f aca="false">'Таблица 1'!E18</f>
        <v>3.84</v>
      </c>
      <c r="C24" s="27" t="n">
        <f aca="false">'Параметры установки'!$A$2*2/B24/B24</f>
        <v>0.0949435763888889</v>
      </c>
      <c r="D24" s="27" t="n">
        <f aca="false">2*C24/'Параметры установки'!$B$2</f>
        <v>4.1279815821256</v>
      </c>
      <c r="E24" s="27" t="n">
        <f aca="false">$A$21*'Параметры установки'!$B$2/2*(9.8-C24)</f>
        <v>0.206921508007813</v>
      </c>
    </row>
    <row r="25" customFormat="false" ht="15" hidden="false" customHeight="false" outlineLevel="0" collapsed="false">
      <c r="A25" s="26"/>
      <c r="B25" s="27" t="n">
        <f aca="false">'Таблица 1'!F18</f>
        <v>4.68</v>
      </c>
      <c r="C25" s="27" t="n">
        <f aca="false">'Параметры установки'!$A$2*2/B25/B25</f>
        <v>0.0639199357148075</v>
      </c>
      <c r="D25" s="27" t="n">
        <f aca="false">2*C25/'Параметры установки'!$B$2</f>
        <v>2.77912763977424</v>
      </c>
      <c r="E25" s="27" t="n">
        <f aca="false">$A$21*'Параметры установки'!$B$2/2*(9.8-C25)</f>
        <v>0.207582963050625</v>
      </c>
    </row>
    <row r="26" customFormat="false" ht="15" hidden="false" customHeight="false" outlineLevel="0" collapsed="false">
      <c r="A26" s="26"/>
      <c r="B26" s="27" t="n">
        <f aca="false">'Таблица 1'!G18</f>
        <v>5.09</v>
      </c>
      <c r="C26" s="27" t="n">
        <f aca="false">'Параметры установки'!$A$2*2/B26/B26</f>
        <v>0.0540371544034491</v>
      </c>
      <c r="D26" s="27" t="n">
        <f aca="false">2*C26/'Параметры установки'!$B$2</f>
        <v>2.34944149580214</v>
      </c>
      <c r="E26" s="27" t="n">
        <f aca="false">$A$21*'Параметры установки'!$B$2/2*(9.8-C26)</f>
        <v>0.207793673830964</v>
      </c>
    </row>
  </sheetData>
  <mergeCells count="4">
    <mergeCell ref="A3:A8"/>
    <mergeCell ref="A9:A14"/>
    <mergeCell ref="A15:A20"/>
    <mergeCell ref="A21:A2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false"/>
  </sheetPr>
  <dimension ref="A1:G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.86"/>
  </cols>
  <sheetData>
    <row r="1" customFormat="false" ht="28.35" hidden="false" customHeight="false" outlineLevel="0" collapsed="false">
      <c r="A1" s="1" t="s">
        <v>47</v>
      </c>
      <c r="B1" s="31" t="n">
        <v>1</v>
      </c>
      <c r="C1" s="31" t="n">
        <v>2</v>
      </c>
      <c r="D1" s="31" t="n">
        <v>3</v>
      </c>
      <c r="E1" s="31" t="n">
        <v>4</v>
      </c>
      <c r="F1" s="31" t="n">
        <v>5</v>
      </c>
      <c r="G1" s="31" t="n">
        <v>6</v>
      </c>
    </row>
    <row r="2" customFormat="false" ht="15" hidden="false" customHeight="false" outlineLevel="0" collapsed="false">
      <c r="A2" s="1" t="s">
        <v>48</v>
      </c>
      <c r="B2" s="30" t="n">
        <f aca="false">'Параметры установки'!$C$2+(B1-1)*'Параметры установки'!$D$2+'Параметры установки'!$E$2/2</f>
        <v>0.077</v>
      </c>
      <c r="C2" s="30" t="n">
        <f aca="false">'Параметры установки'!$C$2+(C1-1)*'Параметры установки'!$D$2+'Параметры установки'!$E$2/2</f>
        <v>0.102</v>
      </c>
      <c r="D2" s="30" t="n">
        <f aca="false">'Параметры установки'!$C$2+(D1-1)*'Параметры установки'!$D$2+'Параметры установки'!$E$2/2</f>
        <v>0.127</v>
      </c>
      <c r="E2" s="30" t="n">
        <f aca="false">'Параметры установки'!$C$2+(E1-1)*'Параметры установки'!$D$2+'Параметры установки'!$E$2/2</f>
        <v>0.152</v>
      </c>
      <c r="F2" s="30" t="n">
        <f aca="false">'Параметры установки'!$C$2+(F1-1)*'Параметры установки'!$D$2+'Параметры установки'!$E$2/2</f>
        <v>0.177</v>
      </c>
      <c r="G2" s="30" t="n">
        <f aca="false">'Параметры установки'!$C$2+(G1-1)*'Параметры установки'!$D$2+'Параметры установки'!$E$2/2</f>
        <v>0.202</v>
      </c>
    </row>
    <row r="3" customFormat="false" ht="15" hidden="false" customHeight="false" outlineLevel="0" collapsed="false">
      <c r="A3" s="1" t="s">
        <v>49</v>
      </c>
      <c r="B3" s="30" t="n">
        <f aca="false">B2*B2</f>
        <v>0.005929</v>
      </c>
      <c r="C3" s="30" t="n">
        <f aca="false">C2*C2</f>
        <v>0.010404</v>
      </c>
      <c r="D3" s="30" t="n">
        <f aca="false">D2*D2</f>
        <v>0.016129</v>
      </c>
      <c r="E3" s="30" t="n">
        <f aca="false">E2*E2</f>
        <v>0.023104</v>
      </c>
      <c r="F3" s="30" t="n">
        <f aca="false">F2*F2</f>
        <v>0.031329</v>
      </c>
      <c r="G3" s="30" t="n">
        <f aca="false">G2*G2</f>
        <v>0.040804</v>
      </c>
    </row>
    <row r="4" customFormat="false" ht="15" hidden="false" customHeight="false" outlineLevel="0" collapsed="false">
      <c r="A4" s="1" t="s">
        <v>50</v>
      </c>
      <c r="B4" s="27" t="n">
        <f aca="false">'МНК рис.1'!N2</f>
        <v>0.0263721678221842</v>
      </c>
      <c r="C4" s="27" t="n">
        <f aca="false">'МНК рис.2'!N2</f>
        <v>0.03419706696074</v>
      </c>
      <c r="D4" s="27" t="n">
        <f aca="false">'МНК рис.3'!N2</f>
        <v>0.0413543900401637</v>
      </c>
      <c r="E4" s="27" t="n">
        <f aca="false">'МНК рис.4'!N2</f>
        <v>0.0476105968521671</v>
      </c>
      <c r="F4" s="27" t="n">
        <f aca="false">'МНК рис.5'!N2</f>
        <v>0.0646957226193292</v>
      </c>
      <c r="G4" s="27" t="n">
        <f aca="false">'МНК рис.6'!N2</f>
        <v>0.0924862075051347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0" colorId="64" zoomScale="100" zoomScaleNormal="100" zoomScalePageLayoutView="100" workbookViewId="0">
      <selection pane="topLeft" activeCell="R24" activeCellId="0" sqref="R24"/>
    </sheetView>
  </sheetViews>
  <sheetFormatPr defaultColWidth="8.6796875" defaultRowHeight="15" customHeight="tru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22A35"/>
    <pageSetUpPr fitToPage="false"/>
  </sheetPr>
  <dimension ref="A1:G51"/>
  <sheetViews>
    <sheetView showFormulas="false" showGridLines="true" showRowColHeaders="true" showZeros="true" rightToLeft="false" tabSelected="false" showOutlineSymbols="true" defaultGridColor="true" view="normal" topLeftCell="A31" colorId="64" zoomScale="100" zoomScaleNormal="100" zoomScalePageLayoutView="100" workbookViewId="0">
      <selection pane="topLeft" activeCell="G35" activeCellId="0" sqref="G35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4.29"/>
    <col collapsed="false" customWidth="true" hidden="false" outlineLevel="0" max="2" min="2" style="0" width="11"/>
    <col collapsed="false" customWidth="true" hidden="false" outlineLevel="0" max="3" min="3" style="0" width="11.29"/>
    <col collapsed="false" customWidth="true" hidden="false" outlineLevel="0" max="4" min="4" style="0" width="10.71"/>
    <col collapsed="false" customWidth="true" hidden="false" outlineLevel="0" max="5" min="5" style="0" width="10"/>
    <col collapsed="false" customWidth="true" hidden="false" outlineLevel="0" max="6" min="6" style="0" width="10.29"/>
    <col collapsed="false" customWidth="true" hidden="false" outlineLevel="0" max="7" min="7" style="0" width="13.42"/>
  </cols>
  <sheetData>
    <row r="1" customFormat="false" ht="47.25" hidden="false" customHeight="true" outlineLevel="0" collapsed="false">
      <c r="A1" s="32" t="s">
        <v>51</v>
      </c>
      <c r="B1" s="32"/>
      <c r="C1" s="32"/>
      <c r="D1" s="32"/>
      <c r="E1" s="32"/>
      <c r="F1" s="32"/>
      <c r="G1" s="32"/>
    </row>
    <row r="2" customFormat="false" ht="15" hidden="false" customHeight="false" outlineLevel="0" collapsed="false">
      <c r="A2" s="33" t="s">
        <v>52</v>
      </c>
      <c r="B2" s="33" t="s">
        <v>36</v>
      </c>
      <c r="C2" s="33"/>
      <c r="D2" s="33"/>
      <c r="E2" s="33"/>
      <c r="F2" s="33"/>
      <c r="G2" s="33"/>
    </row>
    <row r="3" customFormat="false" ht="15" hidden="false" customHeight="false" outlineLevel="0" collapsed="false">
      <c r="A3" s="33"/>
      <c r="B3" s="33" t="s">
        <v>37</v>
      </c>
      <c r="C3" s="33" t="s">
        <v>38</v>
      </c>
      <c r="D3" s="33" t="s">
        <v>39</v>
      </c>
      <c r="E3" s="33" t="s">
        <v>40</v>
      </c>
      <c r="F3" s="33" t="s">
        <v>41</v>
      </c>
      <c r="G3" s="33" t="s">
        <v>42</v>
      </c>
    </row>
    <row r="4" customFormat="false" ht="15" hidden="false" customHeight="false" outlineLevel="0" collapsed="false">
      <c r="A4" s="34" t="n">
        <f aca="false">0.047+0.22</f>
        <v>0.267</v>
      </c>
      <c r="B4" s="35" t="n">
        <v>4.2</v>
      </c>
      <c r="C4" s="35" t="n">
        <v>4.97</v>
      </c>
      <c r="D4" s="35" t="n">
        <v>6</v>
      </c>
      <c r="E4" s="35" t="n">
        <v>6.86</v>
      </c>
      <c r="F4" s="35" t="n">
        <v>7.78</v>
      </c>
      <c r="G4" s="35" t="n">
        <v>8.88</v>
      </c>
    </row>
    <row r="5" customFormat="false" ht="15" hidden="false" customHeight="false" outlineLevel="0" collapsed="false">
      <c r="A5" s="34"/>
      <c r="B5" s="35" t="n">
        <v>4.3</v>
      </c>
      <c r="C5" s="35" t="n">
        <v>4.87</v>
      </c>
      <c r="D5" s="35" t="n">
        <v>5.93</v>
      </c>
      <c r="E5" s="35" t="n">
        <v>6.87</v>
      </c>
      <c r="F5" s="35" t="n">
        <v>7.8</v>
      </c>
      <c r="G5" s="35" t="n">
        <v>8.94</v>
      </c>
    </row>
    <row r="6" customFormat="false" ht="15" hidden="false" customHeight="false" outlineLevel="0" collapsed="false">
      <c r="A6" s="34"/>
      <c r="B6" s="35" t="n">
        <v>4.36</v>
      </c>
      <c r="C6" s="35" t="n">
        <v>4.95</v>
      </c>
      <c r="D6" s="35" t="n">
        <v>6.04</v>
      </c>
      <c r="E6" s="35" t="n">
        <v>6.96</v>
      </c>
      <c r="F6" s="35" t="n">
        <v>7.91</v>
      </c>
      <c r="G6" s="35" t="n">
        <v>9.02</v>
      </c>
    </row>
    <row r="7" customFormat="false" ht="15" hidden="false" customHeight="false" outlineLevel="0" collapsed="false">
      <c r="A7" s="34"/>
      <c r="B7" s="35" t="n">
        <f aca="false">SUM(B4:B6)/3</f>
        <v>4.28666666666667</v>
      </c>
      <c r="C7" s="35" t="n">
        <f aca="false">SUM(C4:C6)/3</f>
        <v>4.93</v>
      </c>
      <c r="D7" s="35" t="n">
        <f aca="false">SUM(D4:D6)/3</f>
        <v>5.99</v>
      </c>
      <c r="E7" s="35" t="n">
        <f aca="false">SUM(E4:E6)/3</f>
        <v>6.89666666666667</v>
      </c>
      <c r="F7" s="35" t="n">
        <f aca="false">SUM(F4:F6)/3</f>
        <v>7.83</v>
      </c>
      <c r="G7" s="35" t="n">
        <f aca="false">SUM(G4:G6)/3</f>
        <v>8.94666666666667</v>
      </c>
    </row>
    <row r="8" customFormat="false" ht="15" hidden="false" customHeight="false" outlineLevel="0" collapsed="false">
      <c r="A8" s="34" t="n">
        <f aca="false">0.047+0.22*2</f>
        <v>0.487</v>
      </c>
      <c r="B8" s="35" t="n">
        <v>3.27</v>
      </c>
      <c r="C8" s="35" t="n">
        <v>3.52</v>
      </c>
      <c r="D8" s="35" t="n">
        <v>4.36</v>
      </c>
      <c r="E8" s="35" t="n">
        <v>4.99</v>
      </c>
      <c r="F8" s="35" t="n">
        <v>5.67</v>
      </c>
      <c r="G8" s="35" t="n">
        <v>6.36</v>
      </c>
    </row>
    <row r="9" customFormat="false" ht="15" hidden="false" customHeight="false" outlineLevel="0" collapsed="false">
      <c r="A9" s="34"/>
      <c r="B9" s="35" t="n">
        <v>3.18</v>
      </c>
      <c r="C9" s="35" t="n">
        <v>3.63</v>
      </c>
      <c r="D9" s="35" t="n">
        <v>4.35</v>
      </c>
      <c r="E9" s="35" t="n">
        <v>5.02</v>
      </c>
      <c r="F9" s="35" t="n">
        <v>5.74</v>
      </c>
      <c r="G9" s="35" t="n">
        <v>6.39</v>
      </c>
    </row>
    <row r="10" customFormat="false" ht="15" hidden="false" customHeight="false" outlineLevel="0" collapsed="false">
      <c r="A10" s="34"/>
      <c r="B10" s="35" t="n">
        <v>3.13</v>
      </c>
      <c r="C10" s="35" t="n">
        <v>3.64</v>
      </c>
      <c r="D10" s="35" t="n">
        <v>4.17</v>
      </c>
      <c r="E10" s="35" t="n">
        <v>4.96</v>
      </c>
      <c r="F10" s="35" t="n">
        <v>5.65</v>
      </c>
      <c r="G10" s="35" t="n">
        <v>6.37</v>
      </c>
    </row>
    <row r="11" customFormat="false" ht="15" hidden="false" customHeight="false" outlineLevel="0" collapsed="false">
      <c r="A11" s="34"/>
      <c r="B11" s="35" t="n">
        <f aca="false">SUM(B8:B10)/3</f>
        <v>3.19333333333333</v>
      </c>
      <c r="C11" s="35" t="n">
        <f aca="false">SUM(C8:C10)/3</f>
        <v>3.59666666666667</v>
      </c>
      <c r="D11" s="35" t="n">
        <f aca="false">SUM(D8:D10)/3</f>
        <v>4.29333333333333</v>
      </c>
      <c r="E11" s="35" t="n">
        <f aca="false">SUM(E8:E10)/3</f>
        <v>4.99</v>
      </c>
      <c r="F11" s="35" t="n">
        <f aca="false">SUM(F8:F10)/3</f>
        <v>5.68666666666667</v>
      </c>
      <c r="G11" s="35" t="n">
        <f aca="false">SUM(G8:G10)/3</f>
        <v>6.37333333333333</v>
      </c>
    </row>
    <row r="12" customFormat="false" ht="15" hidden="false" customHeight="false" outlineLevel="0" collapsed="false">
      <c r="A12" s="34" t="n">
        <f aca="false">0.047+0.22*3</f>
        <v>0.707</v>
      </c>
      <c r="B12" s="35" t="n">
        <v>2.51</v>
      </c>
      <c r="C12" s="35" t="n">
        <v>2.94</v>
      </c>
      <c r="D12" s="35" t="n">
        <v>3.45</v>
      </c>
      <c r="E12" s="35" t="n">
        <v>4.14</v>
      </c>
      <c r="F12" s="35" t="n">
        <v>4.64</v>
      </c>
      <c r="G12" s="35" t="n">
        <v>5.24</v>
      </c>
    </row>
    <row r="13" customFormat="false" ht="15" hidden="false" customHeight="false" outlineLevel="0" collapsed="false">
      <c r="A13" s="34"/>
      <c r="B13" s="35" t="n">
        <v>2.56</v>
      </c>
      <c r="C13" s="35" t="n">
        <v>2.93</v>
      </c>
      <c r="D13" s="35" t="n">
        <v>3.55</v>
      </c>
      <c r="E13" s="35" t="n">
        <v>4.08</v>
      </c>
      <c r="F13" s="35" t="n">
        <v>4.75</v>
      </c>
      <c r="G13" s="35" t="n">
        <v>5.27</v>
      </c>
    </row>
    <row r="14" customFormat="false" ht="15" hidden="false" customHeight="false" outlineLevel="0" collapsed="false">
      <c r="A14" s="34"/>
      <c r="B14" s="35" t="n">
        <v>2.53</v>
      </c>
      <c r="C14" s="35" t="n">
        <v>3.02</v>
      </c>
      <c r="D14" s="35" t="n">
        <v>3.49</v>
      </c>
      <c r="E14" s="35" t="n">
        <v>4.07</v>
      </c>
      <c r="F14" s="35" t="n">
        <v>4.62</v>
      </c>
      <c r="G14" s="35" t="n">
        <v>5.28</v>
      </c>
    </row>
    <row r="15" customFormat="false" ht="15" hidden="false" customHeight="false" outlineLevel="0" collapsed="false">
      <c r="A15" s="34"/>
      <c r="B15" s="35" t="n">
        <f aca="false">SUM(B12:B14)/3</f>
        <v>2.53333333333333</v>
      </c>
      <c r="C15" s="35" t="n">
        <f aca="false">SUM(C12:C14)/3</f>
        <v>2.96333333333333</v>
      </c>
      <c r="D15" s="35" t="n">
        <f aca="false">SUM(D12:D14)/3</f>
        <v>3.49666666666667</v>
      </c>
      <c r="E15" s="35" t="n">
        <f aca="false">SUM(E12:E14)/3</f>
        <v>4.09666666666667</v>
      </c>
      <c r="F15" s="35" t="n">
        <f aca="false">SUM(F12:F14)/3</f>
        <v>4.67</v>
      </c>
      <c r="G15" s="35" t="n">
        <f aca="false">SUM(G12:G14)/3</f>
        <v>5.26333333333333</v>
      </c>
    </row>
    <row r="16" customFormat="false" ht="15" hidden="false" customHeight="false" outlineLevel="0" collapsed="false">
      <c r="A16" s="34" t="n">
        <f aca="false">0.047+0.22*4</f>
        <v>0.927</v>
      </c>
      <c r="B16" s="35" t="n">
        <v>2.23</v>
      </c>
      <c r="C16" s="35" t="n">
        <v>2.59</v>
      </c>
      <c r="D16" s="35" t="n">
        <v>3.1</v>
      </c>
      <c r="E16" s="35" t="n">
        <v>3.55</v>
      </c>
      <c r="F16" s="35" t="n">
        <v>4.06</v>
      </c>
      <c r="G16" s="35" t="n">
        <v>4.61</v>
      </c>
    </row>
    <row r="17" customFormat="false" ht="15" hidden="false" customHeight="false" outlineLevel="0" collapsed="false">
      <c r="A17" s="34"/>
      <c r="B17" s="35" t="n">
        <v>2.23</v>
      </c>
      <c r="C17" s="35" t="n">
        <v>2.59</v>
      </c>
      <c r="D17" s="35" t="n">
        <v>3.06</v>
      </c>
      <c r="E17" s="35" t="n">
        <v>3.56</v>
      </c>
      <c r="F17" s="35" t="n">
        <v>4.01</v>
      </c>
      <c r="G17" s="35" t="n">
        <v>4.56</v>
      </c>
    </row>
    <row r="18" customFormat="false" ht="15" hidden="false" customHeight="false" outlineLevel="0" collapsed="false">
      <c r="A18" s="34"/>
      <c r="B18" s="35" t="n">
        <v>2.12</v>
      </c>
      <c r="C18" s="35" t="n">
        <v>2.46</v>
      </c>
      <c r="D18" s="35" t="n">
        <v>3.09</v>
      </c>
      <c r="E18" s="35" t="n">
        <v>3.58</v>
      </c>
      <c r="F18" s="35" t="n">
        <v>4.07</v>
      </c>
      <c r="G18" s="35" t="n">
        <v>4.68</v>
      </c>
    </row>
    <row r="19" customFormat="false" ht="15" hidden="false" customHeight="false" outlineLevel="0" collapsed="false">
      <c r="A19" s="34"/>
      <c r="B19" s="35" t="n">
        <f aca="false">SUM(B16:B18)/3</f>
        <v>2.19333333333333</v>
      </c>
      <c r="C19" s="35" t="n">
        <f aca="false">SUM(C16:C18)/3</f>
        <v>2.54666666666667</v>
      </c>
      <c r="D19" s="35" t="n">
        <f aca="false">SUM(D16:D18)/3</f>
        <v>3.08333333333333</v>
      </c>
      <c r="E19" s="35" t="n">
        <f aca="false">SUM(E16:E18)/3</f>
        <v>3.56333333333333</v>
      </c>
      <c r="F19" s="35" t="n">
        <f aca="false">SUM(F16:F18)/3</f>
        <v>4.04666666666667</v>
      </c>
      <c r="G19" s="35" t="n">
        <f aca="false">SUM(G16:G18)/3</f>
        <v>4.61666666666667</v>
      </c>
    </row>
    <row r="20" customFormat="false" ht="41.25" hidden="false" customHeight="true" outlineLevel="0" collapsed="false">
      <c r="A20" s="32" t="s">
        <v>53</v>
      </c>
      <c r="B20" s="32"/>
      <c r="C20" s="32"/>
      <c r="D20" s="32"/>
      <c r="E20" s="32"/>
      <c r="F20" s="36"/>
      <c r="G20" s="36"/>
    </row>
    <row r="21" customFormat="false" ht="15" hidden="false" customHeight="false" outlineLevel="0" collapsed="false">
      <c r="A21" s="33" t="s">
        <v>52</v>
      </c>
      <c r="B21" s="37" t="s">
        <v>54</v>
      </c>
      <c r="C21" s="38" t="s">
        <v>55</v>
      </c>
      <c r="D21" s="38" t="s">
        <v>56</v>
      </c>
      <c r="E21" s="38" t="s">
        <v>46</v>
      </c>
      <c r="F21" s="36"/>
      <c r="G21" s="36"/>
    </row>
    <row r="22" customFormat="false" ht="15" hidden="false" customHeight="false" outlineLevel="0" collapsed="false">
      <c r="A22" s="34" t="n">
        <v>0.267</v>
      </c>
      <c r="B22" s="35" t="n">
        <v>4.28666666666667</v>
      </c>
      <c r="C22" s="35" t="n">
        <v>0.0761883569678485</v>
      </c>
      <c r="D22" s="35" t="n">
        <v>3.31253725947168</v>
      </c>
      <c r="E22" s="35" t="n">
        <v>0.0597139272998605</v>
      </c>
      <c r="F22" s="36"/>
      <c r="G22" s="36"/>
    </row>
    <row r="23" customFormat="false" ht="15" hidden="false" customHeight="false" outlineLevel="0" collapsed="false">
      <c r="A23" s="34"/>
      <c r="B23" s="35" t="n">
        <v>4.93</v>
      </c>
      <c r="C23" s="35" t="n">
        <v>0.0576015535961884</v>
      </c>
      <c r="D23" s="35" t="n">
        <v>2.50441537374732</v>
      </c>
      <c r="E23" s="35" t="n">
        <v>0.0598280688593658</v>
      </c>
      <c r="F23" s="36"/>
      <c r="G23" s="36"/>
    </row>
    <row r="24" customFormat="false" ht="15" hidden="false" customHeight="false" outlineLevel="0" collapsed="false">
      <c r="A24" s="34"/>
      <c r="B24" s="35" t="n">
        <v>5.99</v>
      </c>
      <c r="C24" s="35" t="n">
        <v>0.0390188433142606</v>
      </c>
      <c r="D24" s="35" t="n">
        <v>1.69647144844611</v>
      </c>
      <c r="E24" s="35" t="n">
        <v>0.0599421852832071</v>
      </c>
      <c r="F24" s="36"/>
      <c r="G24" s="36"/>
    </row>
    <row r="25" customFormat="false" ht="15" hidden="false" customHeight="false" outlineLevel="0" collapsed="false">
      <c r="A25" s="34"/>
      <c r="B25" s="35" t="n">
        <v>6.89666666666667</v>
      </c>
      <c r="C25" s="35" t="n">
        <v>0.0294340188578619</v>
      </c>
      <c r="D25" s="35" t="n">
        <v>1.27973995034182</v>
      </c>
      <c r="E25" s="35" t="n">
        <v>0.0600010456901939</v>
      </c>
      <c r="F25" s="36"/>
      <c r="G25" s="36"/>
    </row>
    <row r="26" customFormat="false" ht="15" hidden="false" customHeight="false" outlineLevel="0" collapsed="false">
      <c r="A26" s="34"/>
      <c r="B26" s="35" t="n">
        <v>7.83</v>
      </c>
      <c r="C26" s="35" t="n">
        <v>0.0228351837987633</v>
      </c>
      <c r="D26" s="35" t="n">
        <v>0.9928340782071</v>
      </c>
      <c r="E26" s="35" t="n">
        <v>0.0600415691362918</v>
      </c>
      <c r="F26" s="36"/>
      <c r="G26" s="36"/>
    </row>
    <row r="27" customFormat="false" ht="15" hidden="false" customHeight="false" outlineLevel="0" collapsed="false">
      <c r="A27" s="34"/>
      <c r="B27" s="35" t="n">
        <v>8.94666666666667</v>
      </c>
      <c r="C27" s="35" t="n">
        <v>0.0174906327944368</v>
      </c>
      <c r="D27" s="35" t="n">
        <v>0.760462295410294</v>
      </c>
      <c r="E27" s="35" t="n">
        <v>0.0600743900240094</v>
      </c>
      <c r="F27" s="36"/>
      <c r="G27" s="36"/>
    </row>
    <row r="28" customFormat="false" ht="15" hidden="false" customHeight="false" outlineLevel="0" collapsed="false">
      <c r="A28" s="34" t="n">
        <v>0.487</v>
      </c>
      <c r="B28" s="35" t="n">
        <v>3.19333333333333</v>
      </c>
      <c r="C28" s="35" t="n">
        <v>0.137290196608278</v>
      </c>
      <c r="D28" s="35" t="n">
        <v>5.96913898296863</v>
      </c>
      <c r="E28" s="35" t="n">
        <v>0.108232012507791</v>
      </c>
      <c r="F28" s="36"/>
      <c r="G28" s="36"/>
    </row>
    <row r="29" customFormat="false" ht="15" hidden="false" customHeight="false" outlineLevel="0" collapsed="false">
      <c r="A29" s="34"/>
      <c r="B29" s="35" t="n">
        <v>3.59666666666667</v>
      </c>
      <c r="C29" s="35" t="n">
        <v>0.108225015267457</v>
      </c>
      <c r="D29" s="35" t="n">
        <v>4.7054354464112</v>
      </c>
      <c r="E29" s="35" t="n">
        <v>0.108557571603989</v>
      </c>
      <c r="F29" s="36"/>
      <c r="G29" s="36"/>
    </row>
    <row r="30" customFormat="false" ht="15" hidden="false" customHeight="false" outlineLevel="0" collapsed="false">
      <c r="A30" s="34"/>
      <c r="B30" s="35" t="n">
        <v>4.29333333333333</v>
      </c>
      <c r="C30" s="35" t="n">
        <v>0.0759519308668647</v>
      </c>
      <c r="D30" s="35" t="n">
        <v>3.30225786377673</v>
      </c>
      <c r="E30" s="35" t="n">
        <v>0.10891906242236</v>
      </c>
      <c r="F30" s="36"/>
      <c r="G30" s="36"/>
    </row>
    <row r="31" customFormat="false" ht="15" hidden="false" customHeight="false" outlineLevel="0" collapsed="false">
      <c r="A31" s="34"/>
      <c r="B31" s="35" t="n">
        <v>4.99</v>
      </c>
      <c r="C31" s="35" t="n">
        <v>0.0562246737964908</v>
      </c>
      <c r="D31" s="35" t="n">
        <v>2.44455103463003</v>
      </c>
      <c r="E31" s="35" t="n">
        <v>0.109140027428806</v>
      </c>
      <c r="F31" s="36"/>
      <c r="G31" s="36"/>
    </row>
    <row r="32" customFormat="false" ht="15" hidden="false" customHeight="false" outlineLevel="0" collapsed="false">
      <c r="A32" s="34"/>
      <c r="B32" s="35" t="n">
        <v>5.68666666666667</v>
      </c>
      <c r="C32" s="35" t="n">
        <v>0.0432924826383401</v>
      </c>
      <c r="D32" s="35" t="n">
        <v>1.88228185384087</v>
      </c>
      <c r="E32" s="35" t="n">
        <v>0.109284880901968</v>
      </c>
      <c r="F32" s="36"/>
      <c r="G32" s="36"/>
    </row>
    <row r="33" customFormat="false" ht="15" hidden="false" customHeight="false" outlineLevel="0" collapsed="false">
      <c r="A33" s="34"/>
      <c r="B33" s="35" t="n">
        <v>6.37333333333333</v>
      </c>
      <c r="C33" s="35" t="n">
        <v>0.0344663083629488</v>
      </c>
      <c r="D33" s="35" t="n">
        <v>1.49853514621517</v>
      </c>
      <c r="E33" s="35" t="n">
        <v>0.109383742880027</v>
      </c>
      <c r="F33" s="36"/>
      <c r="G33" s="36"/>
    </row>
    <row r="34" customFormat="false" ht="15" hidden="false" customHeight="false" outlineLevel="0" collapsed="false">
      <c r="A34" s="34" t="n">
        <v>0.707</v>
      </c>
      <c r="B34" s="35" t="n">
        <v>2.53333333333333</v>
      </c>
      <c r="C34" s="35" t="n">
        <v>0.21814404432133</v>
      </c>
      <c r="D34" s="35" t="n">
        <v>9.48452366614477</v>
      </c>
      <c r="E34" s="35" t="n">
        <v>0.155810559695291</v>
      </c>
      <c r="F34" s="36"/>
      <c r="G34" s="36"/>
    </row>
    <row r="35" customFormat="false" ht="15" hidden="false" customHeight="false" outlineLevel="0" collapsed="false">
      <c r="A35" s="34"/>
      <c r="B35" s="35" t="n">
        <v>2.96333333333333</v>
      </c>
      <c r="C35" s="35" t="n">
        <v>0.159428890286352</v>
      </c>
      <c r="D35" s="35" t="n">
        <v>6.9316908820153</v>
      </c>
      <c r="E35" s="35" t="n">
        <v>0.156765326815054</v>
      </c>
      <c r="F35" s="36"/>
      <c r="G35" s="36"/>
    </row>
    <row r="36" customFormat="false" ht="15" hidden="false" customHeight="false" outlineLevel="0" collapsed="false">
      <c r="A36" s="34"/>
      <c r="B36" s="35" t="n">
        <v>3.49666666666667</v>
      </c>
      <c r="C36" s="35" t="n">
        <v>0.114503712737448</v>
      </c>
      <c r="D36" s="35" t="n">
        <v>4.9784222929325</v>
      </c>
      <c r="E36" s="35" t="n">
        <v>0.157495855127176</v>
      </c>
      <c r="F36" s="36"/>
      <c r="G36" s="36"/>
    </row>
    <row r="37" customFormat="false" ht="15" hidden="false" customHeight="false" outlineLevel="0" collapsed="false">
      <c r="A37" s="34"/>
      <c r="B37" s="35" t="n">
        <v>4.09666666666667</v>
      </c>
      <c r="C37" s="35" t="n">
        <v>0.0834193457407472</v>
      </c>
      <c r="D37" s="35" t="n">
        <v>3.62692807568466</v>
      </c>
      <c r="E37" s="35" t="n">
        <v>0.15800131801891</v>
      </c>
      <c r="F37" s="36"/>
      <c r="G37" s="36"/>
    </row>
    <row r="38" customFormat="false" ht="15" hidden="false" customHeight="false" outlineLevel="0" collapsed="false">
      <c r="A38" s="34"/>
      <c r="B38" s="35" t="n">
        <v>4.67</v>
      </c>
      <c r="C38" s="35" t="n">
        <v>0.0641939758538945</v>
      </c>
      <c r="D38" s="35" t="n">
        <v>2.7910424284302</v>
      </c>
      <c r="E38" s="35" t="n">
        <v>0.15831394175864</v>
      </c>
      <c r="F38" s="36"/>
      <c r="G38" s="36"/>
    </row>
    <row r="39" customFormat="false" ht="15" hidden="false" customHeight="false" outlineLevel="0" collapsed="false">
      <c r="A39" s="34"/>
      <c r="B39" s="35" t="n">
        <v>5.26333333333333</v>
      </c>
      <c r="C39" s="35" t="n">
        <v>0.0505366308351259</v>
      </c>
      <c r="D39" s="35" t="n">
        <v>2.19724481891852</v>
      </c>
      <c r="E39" s="35" t="n">
        <v>0.15853602384599</v>
      </c>
      <c r="F39" s="36"/>
      <c r="G39" s="36"/>
    </row>
    <row r="40" customFormat="false" ht="15" hidden="false" customHeight="false" outlineLevel="0" collapsed="false">
      <c r="A40" s="34" t="n">
        <v>0.927</v>
      </c>
      <c r="B40" s="35" t="n">
        <v>2.19333333333333</v>
      </c>
      <c r="C40" s="35" t="n">
        <v>0.29101726702451</v>
      </c>
      <c r="D40" s="35" t="n">
        <v>12.6529246532396</v>
      </c>
      <c r="E40" s="35" t="n">
        <v>0.20274102084977</v>
      </c>
      <c r="F40" s="36"/>
      <c r="G40" s="36"/>
    </row>
    <row r="41" customFormat="false" ht="15" hidden="false" customHeight="false" outlineLevel="0" collapsed="false">
      <c r="A41" s="34"/>
      <c r="B41" s="35" t="n">
        <v>2.54666666666667</v>
      </c>
      <c r="C41" s="35" t="n">
        <v>0.2158657931526</v>
      </c>
      <c r="D41" s="35" t="n">
        <v>9.38546926750435</v>
      </c>
      <c r="E41" s="35" t="n">
        <v>0.204343325424193</v>
      </c>
      <c r="F41" s="36"/>
      <c r="G41" s="36"/>
    </row>
    <row r="42" customFormat="false" ht="15" hidden="false" customHeight="false" outlineLevel="0" collapsed="false">
      <c r="A42" s="34"/>
      <c r="B42" s="35" t="n">
        <v>3.08333333333333</v>
      </c>
      <c r="C42" s="35" t="n">
        <v>0.147260774287801</v>
      </c>
      <c r="D42" s="35" t="n">
        <v>6.40264236033919</v>
      </c>
      <c r="E42" s="35" t="n">
        <v>0.20580605303141</v>
      </c>
      <c r="F42" s="36"/>
      <c r="G42" s="36"/>
    </row>
    <row r="43" customFormat="false" ht="15" hidden="false" customHeight="false" outlineLevel="0" collapsed="false">
      <c r="A43" s="34"/>
      <c r="B43" s="35" t="n">
        <v>3.56333333333333</v>
      </c>
      <c r="C43" s="35" t="n">
        <v>0.110259275561557</v>
      </c>
      <c r="D43" s="35" t="n">
        <v>4.79388154615464</v>
      </c>
      <c r="E43" s="35" t="n">
        <v>0.206594961985752</v>
      </c>
      <c r="F43" s="36"/>
      <c r="G43" s="36"/>
    </row>
    <row r="44" customFormat="false" ht="15" hidden="false" customHeight="false" outlineLevel="0" collapsed="false">
      <c r="A44" s="34"/>
      <c r="B44" s="35" t="n">
        <v>4.04666666666667</v>
      </c>
      <c r="C44" s="35" t="n">
        <v>0.0854935147062416</v>
      </c>
      <c r="D44" s="35" t="n">
        <v>3.71710933505398</v>
      </c>
      <c r="E44" s="35" t="n">
        <v>0.207122992772948</v>
      </c>
      <c r="F44" s="36"/>
      <c r="G44" s="36"/>
    </row>
    <row r="45" customFormat="false" ht="15" hidden="false" customHeight="false" outlineLevel="0" collapsed="false">
      <c r="A45" s="34"/>
      <c r="B45" s="35" t="n">
        <v>4.61666666666667</v>
      </c>
      <c r="C45" s="35" t="n">
        <v>0.0656857250843879</v>
      </c>
      <c r="D45" s="35" t="n">
        <v>2.85590109062556</v>
      </c>
      <c r="E45" s="35" t="n">
        <v>0.207545314655476</v>
      </c>
      <c r="F45" s="36"/>
      <c r="G45" s="36"/>
    </row>
    <row r="46" customFormat="false" ht="15" hidden="false" customHeight="false" outlineLevel="0" collapsed="false">
      <c r="A46" s="39"/>
      <c r="B46" s="40"/>
      <c r="C46" s="40"/>
      <c r="D46" s="40"/>
      <c r="E46" s="40"/>
      <c r="F46" s="36"/>
      <c r="G46" s="36"/>
    </row>
    <row r="47" customFormat="false" ht="15" hidden="false" customHeight="false" outlineLevel="0" collapsed="false">
      <c r="A47" s="41" t="s">
        <v>57</v>
      </c>
      <c r="B47" s="41"/>
      <c r="C47" s="41"/>
      <c r="D47" s="41"/>
      <c r="E47" s="41"/>
      <c r="F47" s="41"/>
      <c r="G47" s="41"/>
    </row>
    <row r="48" customFormat="false" ht="15" hidden="false" customHeight="false" outlineLevel="0" collapsed="false">
      <c r="A48" s="42" t="s">
        <v>47</v>
      </c>
      <c r="B48" s="43" t="n">
        <v>1</v>
      </c>
      <c r="C48" s="43" t="n">
        <v>2</v>
      </c>
      <c r="D48" s="43" t="n">
        <v>3</v>
      </c>
      <c r="E48" s="43" t="n">
        <v>4</v>
      </c>
      <c r="F48" s="43" t="n">
        <v>5</v>
      </c>
      <c r="G48" s="43" t="n">
        <v>6</v>
      </c>
    </row>
    <row r="49" customFormat="false" ht="15" hidden="false" customHeight="false" outlineLevel="0" collapsed="false">
      <c r="A49" s="42" t="s">
        <v>58</v>
      </c>
      <c r="B49" s="38" t="n">
        <v>0.077</v>
      </c>
      <c r="C49" s="38" t="n">
        <v>0.102</v>
      </c>
      <c r="D49" s="38" t="n">
        <v>0.127</v>
      </c>
      <c r="E49" s="38" t="n">
        <v>0.152</v>
      </c>
      <c r="F49" s="38" t="n">
        <v>0.177</v>
      </c>
      <c r="G49" s="38" t="n">
        <v>0.202</v>
      </c>
    </row>
    <row r="50" customFormat="false" ht="15" hidden="false" customHeight="false" outlineLevel="0" collapsed="false">
      <c r="A50" s="42" t="s">
        <v>59</v>
      </c>
      <c r="B50" s="38" t="n">
        <v>0.005929</v>
      </c>
      <c r="C50" s="38" t="n">
        <v>0.010404</v>
      </c>
      <c r="D50" s="38" t="n">
        <v>0.016129</v>
      </c>
      <c r="E50" s="38" t="n">
        <v>0.023104</v>
      </c>
      <c r="F50" s="38" t="n">
        <v>0.031329</v>
      </c>
      <c r="G50" s="38" t="n">
        <v>0.040804</v>
      </c>
    </row>
    <row r="51" customFormat="false" ht="15" hidden="false" customHeight="false" outlineLevel="0" collapsed="false">
      <c r="A51" s="42" t="s">
        <v>60</v>
      </c>
      <c r="B51" s="35" t="n">
        <v>0.0150682135376748</v>
      </c>
      <c r="C51" s="35" t="n">
        <v>0.0210480782418934</v>
      </c>
      <c r="D51" s="35" t="n">
        <v>0.0307496522413749</v>
      </c>
      <c r="E51" s="35" t="n">
        <v>0.0416756351352267</v>
      </c>
      <c r="F51" s="35" t="n">
        <v>0.0539800738059646</v>
      </c>
      <c r="G51" s="35" t="n">
        <v>0.0703311028373931</v>
      </c>
    </row>
  </sheetData>
  <mergeCells count="13">
    <mergeCell ref="A1:G1"/>
    <mergeCell ref="A2:A3"/>
    <mergeCell ref="B2:G2"/>
    <mergeCell ref="A4:A7"/>
    <mergeCell ref="A8:A11"/>
    <mergeCell ref="A12:A15"/>
    <mergeCell ref="A16:A19"/>
    <mergeCell ref="A20:E20"/>
    <mergeCell ref="A22:A27"/>
    <mergeCell ref="A28:A33"/>
    <mergeCell ref="A34:A39"/>
    <mergeCell ref="A40:A45"/>
    <mergeCell ref="A47:G47"/>
  </mergeCells>
  <printOptions headings="false" gridLines="false" gridLinesSet="true" horizontalCentered="false" verticalCentered="false"/>
  <pageMargins left="0.236111111111111" right="0.236111111111111" top="0.0784722222222222" bottom="0.157638888888889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22A35"/>
    <pageSetUpPr fitToPage="tru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22A35"/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3" activeCellId="0" sqref="E3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30" t="s">
        <v>61</v>
      </c>
      <c r="B1" s="30" t="s">
        <v>16</v>
      </c>
      <c r="C1" s="30" t="s">
        <v>62</v>
      </c>
      <c r="D1" s="30" t="s">
        <v>63</v>
      </c>
      <c r="E1" s="30" t="s">
        <v>21</v>
      </c>
    </row>
    <row r="2" customFormat="false" ht="15" hidden="false" customHeight="false" outlineLevel="0" collapsed="false">
      <c r="A2" s="27" t="n">
        <v>0.7</v>
      </c>
      <c r="B2" s="27" t="n">
        <v>0.046</v>
      </c>
      <c r="C2" s="30" t="n">
        <v>0.057</v>
      </c>
      <c r="D2" s="30" t="n">
        <v>0.025</v>
      </c>
      <c r="E2" s="30" t="n">
        <v>0.04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A1:N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30" activeCellId="0" sqref="H30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9.57"/>
    <col collapsed="false" customWidth="true" hidden="false" outlineLevel="0" max="2" min="2" style="0" width="17"/>
    <col collapsed="false" customWidth="true" hidden="false" outlineLevel="0" max="9" min="9" style="0" width="9.14"/>
    <col collapsed="false" customWidth="true" hidden="false" outlineLevel="0" max="10" min="10" style="0" width="12"/>
    <col collapsed="false" customWidth="true" hidden="false" outlineLevel="0" max="11" min="11" style="0" width="19.29"/>
    <col collapsed="false" customWidth="true" hidden="false" outlineLevel="0" max="12" min="12" style="0" width="18.42"/>
    <col collapsed="false" customWidth="true" hidden="false" outlineLevel="0" max="13" min="13" style="0" width="18.57"/>
    <col collapsed="false" customWidth="true" hidden="false" outlineLevel="0" max="14" min="14" style="0" width="14.57"/>
  </cols>
  <sheetData>
    <row r="1" customFormat="false" ht="41.75" hidden="false" customHeight="false" outlineLevel="0" collapsed="false">
      <c r="A1" s="9" t="s">
        <v>64</v>
      </c>
      <c r="B1" s="9" t="s">
        <v>65</v>
      </c>
      <c r="C1" s="44"/>
      <c r="D1" s="44"/>
      <c r="E1" s="44"/>
      <c r="F1" s="44"/>
      <c r="G1" s="44"/>
      <c r="H1" s="9" t="s">
        <v>19</v>
      </c>
      <c r="I1" s="9" t="s">
        <v>66</v>
      </c>
      <c r="J1" s="9" t="s">
        <v>67</v>
      </c>
      <c r="K1" s="9" t="s">
        <v>68</v>
      </c>
      <c r="L1" s="9" t="s">
        <v>69</v>
      </c>
      <c r="M1" s="9" t="s">
        <v>70</v>
      </c>
      <c r="N1" s="9" t="s">
        <v>71</v>
      </c>
    </row>
    <row r="2" customFormat="false" ht="15" hidden="false" customHeight="false" outlineLevel="0" collapsed="false">
      <c r="A2" s="19" t="n">
        <f aca="false">'Таблица 1'!B3</f>
        <v>4.62</v>
      </c>
      <c r="B2" s="0" t="n">
        <f aca="false">(A2-$H$2)*(A2-$H$2)</f>
        <v>0.0399999999999997</v>
      </c>
      <c r="H2" s="0" t="n">
        <f aca="false">SUM(A:A)/COUNT(A:A)</f>
        <v>4.82</v>
      </c>
      <c r="I2" s="0" t="n">
        <f aca="false">SQRT(SUM(B:B)/COUNT(A:A)/(COUNT(A:A)-1))</f>
        <v>0.112694276695846</v>
      </c>
      <c r="J2" s="0" t="n">
        <v>0.95</v>
      </c>
      <c r="K2" s="0" t="n">
        <f aca="false">J2*I2</f>
        <v>0.107059562861054</v>
      </c>
      <c r="L2" s="0" t="n">
        <v>1</v>
      </c>
      <c r="M2" s="0" t="n">
        <f aca="false">SQRT(K2*K2+(2/3*L2)*(2/3*L2))</f>
        <v>0.675208260053477</v>
      </c>
      <c r="N2" s="3" t="n">
        <f aca="false">M2/H2</f>
        <v>0.140084701255908</v>
      </c>
    </row>
    <row r="3" customFormat="false" ht="15" hidden="false" customHeight="false" outlineLevel="0" collapsed="false">
      <c r="A3" s="19" t="n">
        <f aca="false">'Таблица 1'!B4</f>
        <v>5.01</v>
      </c>
      <c r="B3" s="0" t="n">
        <f aca="false">(A3-$H$2)*(A3-$H$2)</f>
        <v>0.0361000000000001</v>
      </c>
    </row>
    <row r="4" customFormat="false" ht="15" hidden="false" customHeight="false" outlineLevel="0" collapsed="false">
      <c r="A4" s="19" t="n">
        <f aca="false">'Таблица 1'!B5</f>
        <v>4.83</v>
      </c>
      <c r="B4" s="0" t="n">
        <f aca="false">(A4-$H$2)*(A4-$H$2)</f>
        <v>0.000100000000000014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N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20" activeCellId="0" sqref="G20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9.57"/>
    <col collapsed="false" customWidth="true" hidden="false" outlineLevel="0" max="2" min="2" style="0" width="17"/>
    <col collapsed="false" customWidth="true" hidden="false" outlineLevel="0" max="9" min="9" style="0" width="9.14"/>
    <col collapsed="false" customWidth="true" hidden="false" outlineLevel="0" max="10" min="10" style="0" width="12"/>
    <col collapsed="false" customWidth="true" hidden="false" outlineLevel="0" max="11" min="11" style="0" width="19.29"/>
    <col collapsed="false" customWidth="true" hidden="false" outlineLevel="0" max="12" min="12" style="0" width="18.42"/>
    <col collapsed="false" customWidth="true" hidden="false" outlineLevel="0" max="13" min="13" style="0" width="18.57"/>
    <col collapsed="false" customWidth="true" hidden="false" outlineLevel="0" max="14" min="14" style="0" width="14.57"/>
  </cols>
  <sheetData>
    <row r="1" customFormat="false" ht="41.75" hidden="false" customHeight="false" outlineLevel="0" collapsed="false">
      <c r="A1" s="9" t="s">
        <v>64</v>
      </c>
      <c r="B1" s="9" t="s">
        <v>65</v>
      </c>
      <c r="C1" s="44"/>
      <c r="D1" s="44"/>
      <c r="E1" s="44"/>
      <c r="F1" s="44"/>
      <c r="G1" s="44"/>
      <c r="H1" s="9" t="s">
        <v>19</v>
      </c>
      <c r="I1" s="9" t="s">
        <v>66</v>
      </c>
      <c r="J1" s="9" t="s">
        <v>67</v>
      </c>
      <c r="K1" s="9" t="s">
        <v>68</v>
      </c>
      <c r="L1" s="9" t="s">
        <v>69</v>
      </c>
      <c r="M1" s="9" t="s">
        <v>70</v>
      </c>
      <c r="N1" s="9" t="s">
        <v>71</v>
      </c>
    </row>
    <row r="2" customFormat="false" ht="15" hidden="false" customHeight="false" outlineLevel="0" collapsed="false">
      <c r="A2" s="19" t="n">
        <f aca="false">'Таблица 2'!C3</f>
        <v>0.0664511749991694</v>
      </c>
      <c r="B2" s="19" t="n">
        <f aca="false">(A2-$H$2)*(A2-$H$2)</f>
        <v>0.000952654073007863</v>
      </c>
      <c r="H2" s="19" t="n">
        <f aca="false">SUM(A:A)/COUNT(A:A)</f>
        <v>0.0355860802640505</v>
      </c>
      <c r="I2" s="19" t="n">
        <f aca="false">SQRT(SUM(B:B)/COUNT(A:A)/(COUNT(A:A)-1))</f>
        <v>0.0076783094768421</v>
      </c>
      <c r="J2" s="19" t="n">
        <v>0.95</v>
      </c>
      <c r="K2" s="19" t="n">
        <f aca="false">J2*I2</f>
        <v>0.007294394003</v>
      </c>
      <c r="L2" s="19" t="n">
        <v>1</v>
      </c>
      <c r="M2" s="19" t="n">
        <f aca="false">SQRT(K2*K2+(2/3*L2)*(2/3*L2))</f>
        <v>0.666706571610267</v>
      </c>
      <c r="N2" s="3" t="n">
        <f aca="false">M2/H2</f>
        <v>18.7350381571466</v>
      </c>
    </row>
    <row r="3" customFormat="false" ht="15" hidden="false" customHeight="false" outlineLevel="0" collapsed="false">
      <c r="A3" s="19" t="n">
        <f aca="false">'Таблица 2'!C4</f>
        <v>0.0471340796229274</v>
      </c>
      <c r="B3" s="19" t="n">
        <f aca="false">(A3-$H$2)*(A3-$H$2)</f>
        <v>0.00013335628919262</v>
      </c>
    </row>
    <row r="4" customFormat="false" ht="15" hidden="false" customHeight="false" outlineLevel="0" collapsed="false">
      <c r="A4" s="19" t="n">
        <f aca="false">'Таблица 2'!C5</f>
        <v>0.0372569317852191</v>
      </c>
      <c r="B4" s="19" t="n">
        <f aca="false">(A4-$H$2)*(A4-$H$2)</f>
        <v>2.7917448057915E-006</v>
      </c>
    </row>
    <row r="5" customFormat="false" ht="15" hidden="false" customHeight="false" outlineLevel="0" collapsed="false">
      <c r="A5" s="19" t="n">
        <f aca="false">'Таблица 2'!C6</f>
        <v>0.0252240890049998</v>
      </c>
      <c r="B5" s="19" t="n">
        <f aca="false">(A5-$H$2)*(A5-$H$2)</f>
        <v>0.000107370862852644</v>
      </c>
    </row>
    <row r="6" customFormat="false" ht="15" hidden="false" customHeight="false" outlineLevel="0" collapsed="false">
      <c r="A6" s="19" t="n">
        <f aca="false">'Таблица 2'!C7</f>
        <v>0.0201277826659536</v>
      </c>
      <c r="B6" s="19" t="n">
        <f aca="false">(A6-$H$2)*(A6-$H$2)</f>
        <v>0.000238958964631329</v>
      </c>
    </row>
    <row r="7" customFormat="false" ht="15" hidden="false" customHeight="false" outlineLevel="0" collapsed="false">
      <c r="A7" s="19" t="n">
        <f aca="false">'Таблица 2'!C8</f>
        <v>0.0173224235060338</v>
      </c>
      <c r="B7" s="19" t="n">
        <f aca="false">(A7-$H$2)*(A7-$H$2)</f>
        <v>0.00033356115817465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6.29"/>
  </cols>
  <sheetData>
    <row r="1" customFormat="false" ht="15" hidden="false" customHeight="false" outlineLevel="0" collapsed="false">
      <c r="A1" s="1" t="s">
        <v>0</v>
      </c>
      <c r="B1" s="0" t="s">
        <v>22</v>
      </c>
    </row>
    <row r="2" customFormat="false" ht="41.75" hidden="false" customHeight="false" outlineLevel="0" collapsed="false">
      <c r="A2" s="1" t="s">
        <v>1</v>
      </c>
      <c r="B2" s="2" t="n">
        <f aca="false">-4*'Параметры установки'!A2/'Погрешности прямые (t)'!H2/'Погрешности прямые (t)'!H2/'Погрешности прямые (t)'!H2</f>
        <v>-0.0250044275697104</v>
      </c>
      <c r="C2" s="2"/>
      <c r="D2" s="2"/>
      <c r="E2" s="2"/>
      <c r="F2" s="2"/>
      <c r="G2" s="2"/>
    </row>
    <row r="3" customFormat="false" ht="28.35" hidden="false" customHeight="false" outlineLevel="0" collapsed="false">
      <c r="A3" s="1" t="s">
        <v>2</v>
      </c>
      <c r="B3" s="45" t="n">
        <f aca="false">'Погрешности прямые (t)'!H2</f>
        <v>4.82</v>
      </c>
      <c r="C3" s="2"/>
      <c r="D3" s="2"/>
      <c r="E3" s="2"/>
      <c r="F3" s="2"/>
      <c r="G3" s="2"/>
    </row>
    <row r="4" customFormat="false" ht="15" hidden="false" customHeight="false" outlineLevel="0" collapsed="false">
      <c r="A4" s="1" t="s">
        <v>3</v>
      </c>
      <c r="B4" s="19" t="n">
        <f aca="false">2*'Параметры установки'!A2/'Погрешности прямые (t)'!H2/'Погрешности прямые (t)'!H2</f>
        <v>0.060260670443002</v>
      </c>
    </row>
    <row r="5" customFormat="false" ht="28.35" hidden="false" customHeight="false" outlineLevel="0" collapsed="false">
      <c r="A5" s="1" t="s">
        <v>4</v>
      </c>
      <c r="B5" s="19" t="n">
        <f aca="false">'Погрешности прямые (t)'!M2</f>
        <v>0.675208260053477</v>
      </c>
    </row>
    <row r="6" customFormat="false" ht="28.35" hidden="false" customHeight="false" outlineLevel="0" collapsed="false">
      <c r="A6" s="1" t="s">
        <v>5</v>
      </c>
      <c r="B6" s="3" t="n">
        <f aca="false">'Погрешности прямые (t)'!N2</f>
        <v>0.140084701255908</v>
      </c>
    </row>
    <row r="7" customFormat="false" ht="15" hidden="false" customHeight="false" outlineLevel="0" collapsed="false">
      <c r="A7" s="1" t="s">
        <v>6</v>
      </c>
      <c r="B7" s="0" t="n">
        <f aca="false">B5*B5*B2*B2</f>
        <v>0.000285042308287942</v>
      </c>
    </row>
    <row r="8" customFormat="false" ht="28.35" hidden="false" customHeight="false" outlineLevel="0" collapsed="false">
      <c r="A8" s="1" t="s">
        <v>7</v>
      </c>
      <c r="B8" s="0" t="n">
        <f aca="false">SQRT(SUM(7:7))</f>
        <v>0.0168831960329774</v>
      </c>
    </row>
    <row r="9" customFormat="false" ht="28.35" hidden="false" customHeight="false" outlineLevel="0" collapsed="false">
      <c r="A9" s="1" t="s">
        <v>8</v>
      </c>
      <c r="B9" s="3" t="n">
        <f aca="false">B8/B4</f>
        <v>0.280169402511816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N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9.57"/>
    <col collapsed="false" customWidth="true" hidden="false" outlineLevel="0" max="2" min="2" style="0" width="17"/>
    <col collapsed="false" customWidth="true" hidden="false" outlineLevel="0" max="9" min="9" style="0" width="9.14"/>
    <col collapsed="false" customWidth="true" hidden="false" outlineLevel="0" max="10" min="10" style="0" width="12"/>
    <col collapsed="false" customWidth="true" hidden="false" outlineLevel="0" max="11" min="11" style="0" width="19.29"/>
    <col collapsed="false" customWidth="true" hidden="false" outlineLevel="0" max="12" min="12" style="0" width="18.42"/>
    <col collapsed="false" customWidth="true" hidden="false" outlineLevel="0" max="13" min="13" style="0" width="18.57"/>
    <col collapsed="false" customWidth="true" hidden="false" outlineLevel="0" max="14" min="14" style="0" width="14.57"/>
  </cols>
  <sheetData>
    <row r="1" customFormat="false" ht="41.75" hidden="false" customHeight="false" outlineLevel="0" collapsed="false">
      <c r="A1" s="9" t="s">
        <v>64</v>
      </c>
      <c r="B1" s="9" t="s">
        <v>65</v>
      </c>
      <c r="C1" s="44"/>
      <c r="D1" s="44"/>
      <c r="E1" s="44"/>
      <c r="F1" s="44"/>
      <c r="G1" s="44"/>
      <c r="H1" s="9" t="s">
        <v>19</v>
      </c>
      <c r="I1" s="9" t="s">
        <v>66</v>
      </c>
      <c r="J1" s="9" t="s">
        <v>67</v>
      </c>
      <c r="K1" s="9" t="s">
        <v>68</v>
      </c>
      <c r="L1" s="9" t="s">
        <v>69</v>
      </c>
      <c r="M1" s="9" t="s">
        <v>70</v>
      </c>
      <c r="N1" s="9" t="s">
        <v>71</v>
      </c>
    </row>
    <row r="2" customFormat="false" ht="15" hidden="false" customHeight="false" outlineLevel="0" collapsed="false">
      <c r="A2" s="19" t="n">
        <f aca="false">'Таблица 2'!D3</f>
        <v>2.88918152170302</v>
      </c>
      <c r="B2" s="19" t="n">
        <f aca="false">(A2-$H$2)*(A2-$H$2)</f>
        <v>1.80085836107346</v>
      </c>
      <c r="H2" s="19" t="n">
        <f aca="false">SUM(A:A)/COUNT(A:A)</f>
        <v>1.54722088104567</v>
      </c>
      <c r="I2" s="19" t="n">
        <f aca="false">SQRT(SUM(B:B)/COUNT(A:A)/(COUNT(A:A)-1))</f>
        <v>0.333839542471396</v>
      </c>
      <c r="J2" s="19" t="n">
        <v>0.95</v>
      </c>
      <c r="K2" s="19" t="n">
        <f aca="false">J2*I2</f>
        <v>0.317147565347826</v>
      </c>
      <c r="L2" s="19" t="n">
        <v>1</v>
      </c>
      <c r="M2" s="19" t="n">
        <f aca="false">SQRT(K2*K2+(2/3*L2)*(2/3*L2))</f>
        <v>0.738259454833122</v>
      </c>
      <c r="N2" s="3" t="n">
        <f aca="false">M2/H2</f>
        <v>0.477151946355698</v>
      </c>
    </row>
    <row r="3" customFormat="false" ht="15" hidden="false" customHeight="false" outlineLevel="0" collapsed="false">
      <c r="A3" s="19" t="n">
        <f aca="false">'Таблица 2'!D4</f>
        <v>2.04930780969249</v>
      </c>
      <c r="B3" s="19" t="n">
        <f aca="false">(A3-$H$2)*(A3-$H$2)</f>
        <v>0.252091283917997</v>
      </c>
    </row>
    <row r="4" customFormat="false" ht="15" hidden="false" customHeight="false" outlineLevel="0" collapsed="false">
      <c r="A4" s="19" t="n">
        <f aca="false">'Таблица 2'!D5</f>
        <v>1.61986659935735</v>
      </c>
      <c r="B4" s="19" t="n">
        <f aca="false">(A4-$H$2)*(A4-$H$2)</f>
        <v>0.00527740038901986</v>
      </c>
    </row>
    <row r="5" customFormat="false" ht="15" hidden="false" customHeight="false" outlineLevel="0" collapsed="false">
      <c r="A5" s="19" t="n">
        <f aca="false">'Таблица 2'!D6</f>
        <v>1.09669952195651</v>
      </c>
      <c r="B5" s="19" t="n">
        <f aca="false">(A5-$H$2)*(A5-$H$2)</f>
        <v>0.202969494995545</v>
      </c>
    </row>
    <row r="6" customFormat="false" ht="15" hidden="false" customHeight="false" outlineLevel="0" collapsed="false">
      <c r="A6" s="19" t="n">
        <f aca="false">'Таблица 2'!D7</f>
        <v>0.875120985476242</v>
      </c>
      <c r="B6" s="19" t="n">
        <f aca="false">(A6-$H$2)*(A6-$H$2)</f>
        <v>0.45171826962444</v>
      </c>
    </row>
    <row r="7" customFormat="false" ht="15" hidden="false" customHeight="false" outlineLevel="0" collapsed="false">
      <c r="A7" s="19" t="n">
        <f aca="false">'Таблица 2'!D8</f>
        <v>0.753148848088425</v>
      </c>
      <c r="B7" s="19" t="n">
        <f aca="false">(A7-$H$2)*(A7-$H$2)</f>
        <v>0.630550393524858</v>
      </c>
    </row>
    <row r="8" customFormat="false" ht="15" hidden="false" customHeight="false" outlineLevel="0" collapsed="false">
      <c r="A8" s="19"/>
      <c r="B8" s="1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6.29"/>
  </cols>
  <sheetData>
    <row r="1" customFormat="false" ht="15" hidden="false" customHeight="false" outlineLevel="0" collapsed="false">
      <c r="A1" s="1" t="s">
        <v>0</v>
      </c>
      <c r="B1" s="46" t="s">
        <v>72</v>
      </c>
    </row>
    <row r="2" customFormat="false" ht="41.75" hidden="false" customHeight="false" outlineLevel="0" collapsed="false">
      <c r="A2" s="1" t="s">
        <v>1</v>
      </c>
      <c r="B2" s="2" t="n">
        <f aca="false">-8*'Параметры установки'!A2/'Параметры установки'!B2/'Погрешности прямые (t)'!H2/'Погрешности прямые (t)'!H2/'Погрешности прямые (t)'!H2</f>
        <v>-1.08714902477002</v>
      </c>
      <c r="C2" s="2"/>
      <c r="D2" s="2"/>
      <c r="E2" s="2"/>
      <c r="F2" s="2"/>
      <c r="G2" s="2"/>
    </row>
    <row r="3" customFormat="false" ht="28.35" hidden="false" customHeight="false" outlineLevel="0" collapsed="false">
      <c r="A3" s="1" t="s">
        <v>2</v>
      </c>
      <c r="B3" s="45" t="n">
        <f aca="false">'Погрешности прямые (t)'!H2</f>
        <v>4.82</v>
      </c>
      <c r="C3" s="2"/>
      <c r="D3" s="2"/>
      <c r="E3" s="2"/>
      <c r="F3" s="2"/>
      <c r="G3" s="2"/>
    </row>
    <row r="4" customFormat="false" ht="15" hidden="false" customHeight="false" outlineLevel="0" collapsed="false">
      <c r="A4" s="1" t="s">
        <v>3</v>
      </c>
      <c r="B4" s="0" t="n">
        <f aca="false">4*'Параметры установки'!A2/'Параметры установки'!B2/'Погрешности прямые (t)'!H2/'Погрешности прямые (t)'!H2</f>
        <v>2.62002914969574</v>
      </c>
    </row>
    <row r="5" customFormat="false" ht="28.35" hidden="false" customHeight="false" outlineLevel="0" collapsed="false">
      <c r="A5" s="1" t="s">
        <v>4</v>
      </c>
      <c r="B5" s="19" t="n">
        <f aca="false">'Погрешности прямые (t)'!M2</f>
        <v>0.675208260053477</v>
      </c>
    </row>
    <row r="6" customFormat="false" ht="28.35" hidden="false" customHeight="false" outlineLevel="0" collapsed="false">
      <c r="A6" s="1" t="s">
        <v>5</v>
      </c>
      <c r="B6" s="3" t="n">
        <f aca="false">'Погрешности прямые (t)'!N2</f>
        <v>0.140084701255908</v>
      </c>
    </row>
    <row r="7" customFormat="false" ht="15" hidden="false" customHeight="false" outlineLevel="0" collapsed="false">
      <c r="A7" s="1" t="s">
        <v>6</v>
      </c>
      <c r="B7" s="0" t="n">
        <f aca="false">B5*B5*B2*B2</f>
        <v>0.538832340808965</v>
      </c>
    </row>
    <row r="8" customFormat="false" ht="28.35" hidden="false" customHeight="false" outlineLevel="0" collapsed="false">
      <c r="A8" s="1" t="s">
        <v>7</v>
      </c>
      <c r="B8" s="0" t="n">
        <f aca="false">SQRT(SUM(7:7))</f>
        <v>0.734052001433798</v>
      </c>
    </row>
    <row r="9" customFormat="false" ht="28.35" hidden="false" customHeight="false" outlineLevel="0" collapsed="false">
      <c r="A9" s="1" t="s">
        <v>8</v>
      </c>
      <c r="B9" s="3" t="n">
        <f aca="false">B8/B4</f>
        <v>0.280169402511816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N7"/>
  <sheetViews>
    <sheetView showFormulas="false" showGridLines="true" showRowColHeaders="true" showZeros="true" rightToLeft="false" tabSelected="false" showOutlineSymbols="true" defaultGridColor="true" view="normal" topLeftCell="C1" colorId="64" zoomScale="100" zoomScaleNormal="100" zoomScalePageLayoutView="100" workbookViewId="0">
      <selection pane="topLeft" activeCell="H2" activeCellId="0" sqref="H2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9.57"/>
    <col collapsed="false" customWidth="true" hidden="false" outlineLevel="0" max="2" min="2" style="0" width="17"/>
    <col collapsed="false" customWidth="true" hidden="false" outlineLevel="0" max="9" min="9" style="0" width="9.14"/>
    <col collapsed="false" customWidth="true" hidden="false" outlineLevel="0" max="10" min="10" style="0" width="12"/>
    <col collapsed="false" customWidth="true" hidden="false" outlineLevel="0" max="11" min="11" style="0" width="19.29"/>
    <col collapsed="false" customWidth="true" hidden="false" outlineLevel="0" max="12" min="12" style="0" width="18.42"/>
    <col collapsed="false" customWidth="true" hidden="false" outlineLevel="0" max="13" min="13" style="0" width="18.57"/>
    <col collapsed="false" customWidth="true" hidden="false" outlineLevel="0" max="14" min="14" style="0" width="14.57"/>
  </cols>
  <sheetData>
    <row r="1" customFormat="false" ht="41.75" hidden="false" customHeight="false" outlineLevel="0" collapsed="false">
      <c r="A1" s="9" t="s">
        <v>64</v>
      </c>
      <c r="B1" s="9" t="s">
        <v>65</v>
      </c>
      <c r="C1" s="44"/>
      <c r="D1" s="44"/>
      <c r="E1" s="44"/>
      <c r="F1" s="44"/>
      <c r="G1" s="44"/>
      <c r="H1" s="9" t="s">
        <v>19</v>
      </c>
      <c r="I1" s="9" t="s">
        <v>66</v>
      </c>
      <c r="J1" s="9" t="s">
        <v>67</v>
      </c>
      <c r="K1" s="9" t="s">
        <v>68</v>
      </c>
      <c r="L1" s="9" t="s">
        <v>69</v>
      </c>
      <c r="M1" s="9" t="s">
        <v>70</v>
      </c>
      <c r="N1" s="9" t="s">
        <v>71</v>
      </c>
    </row>
    <row r="2" customFormat="false" ht="15" hidden="false" customHeight="false" outlineLevel="0" collapsed="false">
      <c r="A2" s="19" t="n">
        <f aca="false">'Таблица 2'!E3</f>
        <v>0.0597737233343301</v>
      </c>
      <c r="B2" s="19" t="n">
        <f aca="false">(A2-$H$2)*(A2-$H$2)</f>
        <v>3.59263770354336E-008</v>
      </c>
      <c r="H2" s="19" t="n">
        <f aca="false">SUM(A:A)/COUNT(A:A)</f>
        <v>0.0599632658810985</v>
      </c>
      <c r="I2" s="19" t="n">
        <f aca="false">SQRT(SUM(B:B)/COUNT(A:A)/(COUNT(A:A)-1))</f>
        <v>4.71524984972869E-005</v>
      </c>
      <c r="J2" s="19" t="n">
        <v>0.95</v>
      </c>
      <c r="K2" s="19" t="n">
        <f aca="false">J2*I2</f>
        <v>4.47948735724226E-005</v>
      </c>
      <c r="L2" s="19" t="n">
        <v>1</v>
      </c>
      <c r="M2" s="19" t="n">
        <f aca="false">SQRT(K2*K2+(2/3*L2)*(2/3*L2))</f>
        <v>0.666666668171602</v>
      </c>
      <c r="N2" s="3" t="n">
        <f aca="false">M2/H2</f>
        <v>11.1179179181724</v>
      </c>
    </row>
    <row r="3" customFormat="false" ht="15" hidden="false" customHeight="false" outlineLevel="0" collapsed="false">
      <c r="A3" s="19" t="n">
        <f aca="false">'Таблица 2'!E4</f>
        <v>0.0598923496170356</v>
      </c>
      <c r="B3" s="19" t="n">
        <f aca="false">(A3-$H$2)*(A3-$H$2)</f>
        <v>5.02911650863218E-009</v>
      </c>
    </row>
    <row r="4" customFormat="false" ht="15" hidden="false" customHeight="false" outlineLevel="0" collapsed="false">
      <c r="A4" s="19" t="n">
        <f aca="false">'Таблица 2'!E5</f>
        <v>0.059953005181907</v>
      </c>
      <c r="B4" s="19" t="n">
        <f aca="false">(A4-$H$2)*(A4-$H$2)</f>
        <v>1.05281947898192E-010</v>
      </c>
    </row>
    <row r="5" customFormat="false" ht="15" hidden="false" customHeight="false" outlineLevel="0" collapsed="false">
      <c r="A5" s="19" t="n">
        <f aca="false">'Таблица 2'!E6</f>
        <v>0.0600268988694203</v>
      </c>
      <c r="B5" s="19" t="n">
        <f aca="false">(A5-$H$2)*(A5-$H$2)</f>
        <v>4.0491572027668E-009</v>
      </c>
    </row>
    <row r="6" customFormat="false" ht="15" hidden="false" customHeight="false" outlineLevel="0" collapsed="false">
      <c r="A6" s="19" t="n">
        <f aca="false">'Таблица 2'!E7</f>
        <v>0.0600581952866484</v>
      </c>
      <c r="B6" s="19" t="n">
        <f aca="false">(A6-$H$2)*(A6-$H$2)</f>
        <v>9.01159203806129E-009</v>
      </c>
    </row>
    <row r="7" customFormat="false" ht="15" hidden="false" customHeight="false" outlineLevel="0" collapsed="false">
      <c r="A7" s="19" t="n">
        <f aca="false">'Таблица 2'!E8</f>
        <v>0.0600754229972495</v>
      </c>
      <c r="B7" s="19" t="n">
        <f aca="false">(A7-$H$2)*(A7-$H$2)</f>
        <v>1.25792187033074E-008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9" activeCellId="0" sqref="B9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6.29"/>
  </cols>
  <sheetData>
    <row r="1" customFormat="false" ht="15" hidden="false" customHeight="false" outlineLevel="0" collapsed="false">
      <c r="A1" s="1" t="s">
        <v>0</v>
      </c>
      <c r="B1" s="0" t="s">
        <v>73</v>
      </c>
    </row>
    <row r="2" customFormat="false" ht="41.75" hidden="false" customHeight="false" outlineLevel="0" collapsed="false">
      <c r="A2" s="1" t="s">
        <v>1</v>
      </c>
      <c r="B2" s="2" t="n">
        <f aca="false">2*'Таблица 2'!A3*'Параметры установки'!B2*'Параметры установки'!A2/'Погрешности прямые (t)'!H2/'Погрешности прямые (t)'!H2/'Погрешности прямые (t)'!H2</f>
        <v>0.000153552189705592</v>
      </c>
      <c r="C2" s="2"/>
      <c r="D2" s="2"/>
      <c r="E2" s="2"/>
      <c r="F2" s="2"/>
      <c r="G2" s="2"/>
    </row>
    <row r="3" customFormat="false" ht="28.35" hidden="false" customHeight="false" outlineLevel="0" collapsed="false">
      <c r="A3" s="1" t="s">
        <v>2</v>
      </c>
      <c r="B3" s="45" t="n">
        <f aca="false">'Погрешности прямые (t)'!H2</f>
        <v>4.82</v>
      </c>
      <c r="C3" s="2"/>
      <c r="D3" s="2"/>
      <c r="E3" s="2"/>
      <c r="F3" s="2"/>
      <c r="G3" s="2"/>
    </row>
    <row r="4" customFormat="false" ht="15" hidden="false" customHeight="false" outlineLevel="0" collapsed="false">
      <c r="A4" s="1" t="s">
        <v>3</v>
      </c>
      <c r="B4" s="0" t="n">
        <f aca="false">'Таблица 2'!A3*'Параметры установки'!B2/2*(9.82-2*'Параметры установки'!A2/'Погрешности прямые (t)'!H2/'Погрешности прямые (t)'!H2)</f>
        <v>0.0599345592228095</v>
      </c>
    </row>
    <row r="5" customFormat="false" ht="28.35" hidden="false" customHeight="false" outlineLevel="0" collapsed="false">
      <c r="A5" s="1" t="s">
        <v>4</v>
      </c>
      <c r="B5" s="0" t="n">
        <f aca="false">'Погрешности прямые (t)'!M2</f>
        <v>0.675208260053477</v>
      </c>
    </row>
    <row r="6" customFormat="false" ht="28.35" hidden="false" customHeight="false" outlineLevel="0" collapsed="false">
      <c r="A6" s="1" t="s">
        <v>5</v>
      </c>
      <c r="B6" s="3" t="n">
        <f aca="false">'Погрешности прямые (t)'!N2</f>
        <v>0.140084701255908</v>
      </c>
    </row>
    <row r="7" customFormat="false" ht="15" hidden="false" customHeight="false" outlineLevel="0" collapsed="false">
      <c r="A7" s="1" t="s">
        <v>6</v>
      </c>
      <c r="B7" s="0" t="n">
        <f aca="false">B5*B5*B2*B2</f>
        <v>1.07494816101202E-008</v>
      </c>
    </row>
    <row r="8" customFormat="false" ht="28.35" hidden="false" customHeight="false" outlineLevel="0" collapsed="false">
      <c r="A8" s="1" t="s">
        <v>7</v>
      </c>
      <c r="B8" s="0" t="n">
        <f aca="false">SQRT(SUM(7:7))</f>
        <v>0.000103679706838514</v>
      </c>
    </row>
    <row r="9" customFormat="false" ht="28.35" hidden="false" customHeight="false" outlineLevel="0" collapsed="false">
      <c r="A9" s="1" t="s">
        <v>8</v>
      </c>
      <c r="B9" s="3" t="n">
        <f aca="false">B8/B3</f>
        <v>2.15103126220983E-005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A1:R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9.42"/>
    <col collapsed="false" customWidth="true" hidden="false" outlineLevel="0" max="3" min="3" style="0" width="9"/>
    <col collapsed="false" customWidth="true" hidden="false" outlineLevel="0" max="4" min="4" style="0" width="9.71"/>
    <col collapsed="false" customWidth="true" hidden="false" outlineLevel="0" max="5" min="5" style="0" width="9"/>
    <col collapsed="false" customWidth="true" hidden="false" outlineLevel="0" max="6" min="6" style="0" width="10.14"/>
    <col collapsed="false" customWidth="true" hidden="false" outlineLevel="0" max="7" min="7" style="0" width="15.57"/>
    <col collapsed="false" customWidth="true" hidden="false" outlineLevel="0" max="10" min="8" style="0" width="9"/>
    <col collapsed="false" customWidth="true" hidden="false" outlineLevel="0" max="12" min="12" style="0" width="9"/>
    <col collapsed="false" customWidth="true" hidden="false" outlineLevel="0" max="14" min="13" style="0" width="9.42"/>
    <col collapsed="false" customWidth="true" hidden="false" outlineLevel="0" max="18" min="15" style="0" width="9"/>
  </cols>
  <sheetData>
    <row r="1" customFormat="false" ht="41.75" hidden="false" customHeight="false" outlineLevel="0" collapsed="false">
      <c r="A1" s="4" t="s">
        <v>9</v>
      </c>
      <c r="B1" s="5" t="s">
        <v>10</v>
      </c>
      <c r="C1" s="6" t="s">
        <v>11</v>
      </c>
      <c r="D1" s="7" t="s">
        <v>12</v>
      </c>
      <c r="E1" s="8" t="s">
        <v>13</v>
      </c>
      <c r="F1" s="7" t="s">
        <v>14</v>
      </c>
      <c r="G1" s="9" t="s">
        <v>15</v>
      </c>
      <c r="H1" s="10" t="s">
        <v>16</v>
      </c>
      <c r="I1" s="11" t="s">
        <v>17</v>
      </c>
      <c r="J1" s="12" t="s">
        <v>18</v>
      </c>
      <c r="L1" s="9" t="s">
        <v>19</v>
      </c>
      <c r="M1" s="9" t="s">
        <v>20</v>
      </c>
      <c r="N1" s="13" t="s">
        <v>21</v>
      </c>
      <c r="O1" s="13" t="s">
        <v>22</v>
      </c>
      <c r="P1" s="13" t="s">
        <v>23</v>
      </c>
      <c r="Q1" s="13" t="s">
        <v>24</v>
      </c>
      <c r="R1" s="13" t="s">
        <v>25</v>
      </c>
    </row>
    <row r="2" customFormat="false" ht="15" hidden="false" customHeight="false" outlineLevel="0" collapsed="false">
      <c r="A2" s="14" t="n">
        <f aca="false">'Таблица 2'!D3</f>
        <v>2.88918152170302</v>
      </c>
      <c r="B2" s="15" t="n">
        <f aca="false">'Таблица 2'!E3</f>
        <v>0.0597737233343301</v>
      </c>
      <c r="C2" s="47" t="n">
        <f aca="false">(A2-$L$2)*(A2-$L$2)</f>
        <v>8.31880829976058</v>
      </c>
      <c r="D2" s="48" t="n">
        <f aca="false">(B2-$M$2)*(B2-$M$2)</f>
        <v>0.00528563150991362</v>
      </c>
      <c r="E2" s="17" t="n">
        <f aca="false">A2-$L$2</f>
        <v>-2.88423443911215</v>
      </c>
      <c r="F2" s="15" t="n">
        <f aca="false">B2-$M$2</f>
        <v>-0.0727023487235015</v>
      </c>
      <c r="G2" s="49" t="n">
        <f aca="false">E2*F2</f>
        <v>0.209690617992664</v>
      </c>
      <c r="H2" s="19" t="n">
        <f aca="false">B2-($O$2+$N$2*A2)</f>
        <v>0.00336116594328737</v>
      </c>
      <c r="I2" s="50" t="n">
        <f aca="false">H2*H2</f>
        <v>1.12974364983149E-005</v>
      </c>
      <c r="J2" s="21" t="n">
        <f aca="false">SQRT(4*$R$2+4*$Q$2*A2*A2)</f>
        <v>0.0235182749936186</v>
      </c>
      <c r="K2" s="19"/>
      <c r="L2" s="19" t="n">
        <f aca="false">SUM(A:A)/COUNT(A:A)</f>
        <v>5.77341596081517</v>
      </c>
      <c r="M2" s="19" t="n">
        <f aca="false">SUM(B:B)/COUNT(B:B)</f>
        <v>0.132476072057832</v>
      </c>
      <c r="N2" s="19" t="n">
        <f aca="false">SUM(G:G)/SUM(C:C)</f>
        <v>0.0263721678221842</v>
      </c>
      <c r="O2" s="19" t="n">
        <f aca="false">M2-N2*L2</f>
        <v>-0.0197814225680626</v>
      </c>
      <c r="P2" s="19" t="n">
        <f aca="false">SUM(C:C)</f>
        <v>16.6682869395508</v>
      </c>
      <c r="Q2" s="51" t="n">
        <f aca="false">1/P2*SUM(I:I)/(COUNT(I:I)-2)</f>
        <v>3.01607516173545E-006</v>
      </c>
      <c r="R2" s="51" t="n">
        <f aca="false">(1/COUNT(I:I)+L2*L2/P2)*SUM(I:I)/(COUNT(I:I)-2)</f>
        <v>0.000113101019752165</v>
      </c>
    </row>
    <row r="3" customFormat="false" ht="15" hidden="false" customHeight="false" outlineLevel="0" collapsed="false">
      <c r="A3" s="14" t="n">
        <f aca="false">'Таблица 2'!D9</f>
        <v>4.96894409937888</v>
      </c>
      <c r="B3" s="15" t="n">
        <f aca="false">'Таблица 2'!E9</f>
        <v>0.108489685714286</v>
      </c>
      <c r="C3" s="47" t="n">
        <f aca="false">(A3-$L$2)*(A3-$L$2)</f>
        <v>0.647174975842761</v>
      </c>
      <c r="D3" s="48" t="n">
        <f aca="false">(B3-$M$2)*(B3-$M$2)</f>
        <v>0.000575346729821846</v>
      </c>
      <c r="E3" s="22" t="n">
        <f aca="false">A3-$L$2</f>
        <v>-0.804471861436285</v>
      </c>
      <c r="F3" s="15" t="n">
        <f aca="false">B3-$M$2</f>
        <v>-0.0239863863435459</v>
      </c>
      <c r="G3" s="49" t="n">
        <f aca="false">E3*F3</f>
        <v>0.0192963728709223</v>
      </c>
      <c r="H3" s="19" t="n">
        <f aca="false">B3-($O$2+$N$2*A3)</f>
        <v>-0.00277071940552331</v>
      </c>
      <c r="I3" s="48" t="n">
        <f aca="false">H3*H3</f>
        <v>7.67688602414347E-006</v>
      </c>
      <c r="J3" s="18" t="n">
        <f aca="false">SQRT(4*$R$2+4*$Q$2*A3*A3)</f>
        <v>0.0273911765648392</v>
      </c>
      <c r="K3" s="23"/>
      <c r="L3" s="19"/>
      <c r="M3" s="19"/>
      <c r="N3" s="24" t="s">
        <v>50</v>
      </c>
      <c r="O3" s="24" t="s">
        <v>74</v>
      </c>
      <c r="P3" s="19"/>
      <c r="Q3" s="24" t="s">
        <v>26</v>
      </c>
      <c r="R3" s="24" t="s">
        <v>27</v>
      </c>
    </row>
    <row r="4" customFormat="false" ht="15" hidden="false" customHeight="false" outlineLevel="0" collapsed="false">
      <c r="A4" s="14" t="n">
        <f aca="false">'Таблица 2'!D15</f>
        <v>6.94731158890971</v>
      </c>
      <c r="B4" s="15" t="n">
        <f aca="false">'Таблица 2'!E15</f>
        <v>0.156759484623813</v>
      </c>
      <c r="C4" s="47" t="n">
        <f aca="false">(A4-$L$2)*(A4-$L$2)</f>
        <v>1.37803094565948</v>
      </c>
      <c r="D4" s="48" t="n">
        <f aca="false">(B4-$M$2)*(B4-$M$2)</f>
        <v>0.000589684125849664</v>
      </c>
      <c r="E4" s="22" t="n">
        <f aca="false">A4-$L$2</f>
        <v>1.17389562809454</v>
      </c>
      <c r="F4" s="15" t="n">
        <f aca="false">B4-$M$2</f>
        <v>0.0242834125659814</v>
      </c>
      <c r="G4" s="49" t="n">
        <f aca="false">E4*F4</f>
        <v>0.0285061918464217</v>
      </c>
      <c r="H4" s="19" t="n">
        <f aca="false">B4-($O$2+$N$2*A4)</f>
        <v>-0.00667475994385619</v>
      </c>
      <c r="I4" s="48" t="n">
        <f aca="false">H4*H4</f>
        <v>4.45524203081071E-005</v>
      </c>
      <c r="J4" s="18" t="n">
        <f aca="false">SQRT(4*$R$2+4*$Q$2*A4*A4)</f>
        <v>0.032166585432522</v>
      </c>
      <c r="K4" s="19"/>
      <c r="L4" s="19"/>
      <c r="M4" s="19"/>
      <c r="N4" s="19"/>
      <c r="O4" s="19"/>
      <c r="P4" s="19"/>
      <c r="Q4" s="19" t="n">
        <f aca="false">SQRT(Q2)</f>
        <v>0.00173668510724755</v>
      </c>
      <c r="R4" s="19" t="n">
        <f aca="false">SQRT(R2)</f>
        <v>0.010634896320706</v>
      </c>
    </row>
    <row r="5" customFormat="false" ht="15" hidden="false" customHeight="false" outlineLevel="0" collapsed="false">
      <c r="A5" s="14" t="n">
        <f aca="false">'Таблица 2'!D21</f>
        <v>8.28822663326906</v>
      </c>
      <c r="B5" s="15" t="n">
        <f aca="false">'Таблица 2'!E21</f>
        <v>0.204881394558898</v>
      </c>
      <c r="C5" s="47" t="n">
        <f aca="false">(A5-$L$2)*(A5-$L$2)</f>
        <v>6.32427271828801</v>
      </c>
      <c r="D5" s="48" t="n">
        <f aca="false">(B5-$M$2)*(B5-$M$2)</f>
        <v>0.00524253072648338</v>
      </c>
      <c r="E5" s="22" t="n">
        <f aca="false">A5-$L$2</f>
        <v>2.51481067245389</v>
      </c>
      <c r="F5" s="15" t="n">
        <f aca="false">B5-$M$2</f>
        <v>0.072405322501066</v>
      </c>
      <c r="G5" s="49" t="n">
        <f aca="false">E5*F5</f>
        <v>0.182085677768147</v>
      </c>
      <c r="H5" s="19" t="n">
        <f aca="false">B5-($O$2+$N$2*A5)</f>
        <v>0.00608431340609208</v>
      </c>
      <c r="I5" s="48" t="n">
        <f aca="false">H5*H5</f>
        <v>3.70188696235519E-005</v>
      </c>
      <c r="J5" s="18" t="n">
        <f aca="false">SQRT(4*$R$2+4*$Q$2*A5*A5)</f>
        <v>0.0357932619552882</v>
      </c>
      <c r="K5" s="19"/>
      <c r="L5" s="19"/>
      <c r="M5" s="19"/>
      <c r="N5" s="19"/>
      <c r="O5" s="19"/>
      <c r="P5" s="19"/>
      <c r="Q5" s="24" t="s">
        <v>28</v>
      </c>
      <c r="R5" s="24" t="s">
        <v>29</v>
      </c>
    </row>
    <row r="6" customFormat="false" ht="15" hidden="false" customHeight="false" outlineLevel="0" collapsed="false">
      <c r="A6" s="14"/>
      <c r="B6" s="15"/>
      <c r="C6" s="16"/>
      <c r="D6" s="15"/>
      <c r="E6" s="22"/>
      <c r="F6" s="15"/>
      <c r="G6" s="18"/>
      <c r="H6" s="19"/>
      <c r="I6" s="15"/>
      <c r="J6" s="18"/>
      <c r="K6" s="19"/>
      <c r="L6" s="19"/>
      <c r="M6" s="19"/>
      <c r="N6" s="19"/>
      <c r="O6" s="19"/>
      <c r="P6" s="19"/>
      <c r="Q6" s="19" t="n">
        <f aca="false">Q4*2</f>
        <v>0.00347337021449511</v>
      </c>
      <c r="R6" s="19" t="n">
        <f aca="false">R4*2</f>
        <v>0.0212697926414119</v>
      </c>
    </row>
    <row r="7" customFormat="false" ht="15" hidden="false" customHeight="false" outlineLevel="0" collapsed="false">
      <c r="A7" s="14"/>
      <c r="B7" s="15"/>
      <c r="C7" s="16"/>
      <c r="D7" s="15"/>
      <c r="E7" s="22"/>
      <c r="F7" s="15"/>
      <c r="G7" s="18"/>
      <c r="H7" s="19"/>
      <c r="I7" s="15"/>
      <c r="J7" s="18"/>
      <c r="K7" s="19"/>
      <c r="L7" s="19"/>
      <c r="M7" s="19"/>
      <c r="N7" s="19"/>
      <c r="O7" s="19"/>
      <c r="P7" s="19"/>
      <c r="Q7" s="19"/>
      <c r="R7" s="19"/>
    </row>
    <row r="8" customFormat="false" ht="15" hidden="false" customHeight="false" outlineLevel="0" collapsed="false">
      <c r="A8" s="14"/>
      <c r="B8" s="15"/>
      <c r="C8" s="16"/>
      <c r="D8" s="15"/>
      <c r="E8" s="22"/>
      <c r="F8" s="15"/>
      <c r="G8" s="18"/>
      <c r="H8" s="19"/>
      <c r="I8" s="15"/>
      <c r="J8" s="18"/>
      <c r="K8" s="19"/>
      <c r="L8" s="19"/>
      <c r="M8" s="19"/>
      <c r="N8" s="19"/>
      <c r="O8" s="19"/>
      <c r="P8" s="19"/>
      <c r="Q8" s="19"/>
      <c r="R8" s="19"/>
    </row>
    <row r="9" customFormat="false" ht="15" hidden="false" customHeight="false" outlineLevel="0" collapsed="false">
      <c r="A9" s="14"/>
      <c r="B9" s="15"/>
      <c r="C9" s="16"/>
      <c r="D9" s="15"/>
      <c r="E9" s="22"/>
      <c r="F9" s="15"/>
      <c r="G9" s="18"/>
      <c r="H9" s="19"/>
      <c r="I9" s="15"/>
      <c r="J9" s="18"/>
      <c r="K9" s="19"/>
      <c r="L9" s="19"/>
      <c r="M9" s="19"/>
      <c r="N9" s="19"/>
      <c r="O9" s="19"/>
      <c r="P9" s="19"/>
      <c r="Q9" s="19"/>
      <c r="R9" s="19"/>
    </row>
    <row r="10" customFormat="false" ht="15" hidden="false" customHeight="false" outlineLevel="0" collapsed="false">
      <c r="A10" s="14"/>
      <c r="B10" s="15"/>
      <c r="C10" s="16"/>
      <c r="D10" s="15"/>
      <c r="E10" s="22"/>
      <c r="F10" s="15"/>
      <c r="G10" s="18"/>
      <c r="H10" s="19"/>
      <c r="I10" s="15"/>
      <c r="J10" s="18"/>
    </row>
    <row r="11" customFormat="false" ht="15" hidden="false" customHeight="false" outlineLevel="0" collapsed="false">
      <c r="A11" s="14"/>
      <c r="B11" s="15"/>
      <c r="C11" s="16"/>
      <c r="D11" s="15"/>
      <c r="E11" s="22"/>
      <c r="F11" s="15"/>
      <c r="G11" s="18"/>
      <c r="H11" s="19"/>
      <c r="I11" s="15"/>
      <c r="J11" s="18"/>
    </row>
    <row r="12" customFormat="false" ht="15" hidden="false" customHeight="false" outlineLevel="0" collapsed="false">
      <c r="A12" s="14"/>
      <c r="B12" s="15"/>
      <c r="C12" s="16"/>
      <c r="D12" s="15"/>
      <c r="E12" s="22"/>
      <c r="F12" s="15"/>
      <c r="G12" s="18"/>
      <c r="H12" s="19"/>
      <c r="I12" s="15"/>
      <c r="J12" s="18"/>
    </row>
    <row r="13" customFormat="false" ht="15" hidden="false" customHeight="false" outlineLevel="0" collapsed="false">
      <c r="A13" s="14"/>
      <c r="B13" s="15"/>
      <c r="C13" s="16"/>
      <c r="D13" s="15"/>
      <c r="E13" s="22"/>
      <c r="F13" s="15"/>
      <c r="G13" s="18"/>
      <c r="H13" s="19"/>
      <c r="I13" s="15"/>
      <c r="J13" s="18"/>
    </row>
    <row r="14" customFormat="false" ht="15" hidden="false" customHeight="false" outlineLevel="0" collapsed="false">
      <c r="A14" s="14"/>
      <c r="B14" s="15"/>
      <c r="C14" s="16"/>
      <c r="D14" s="15"/>
      <c r="E14" s="22"/>
      <c r="F14" s="15"/>
      <c r="G14" s="18"/>
      <c r="H14" s="19"/>
      <c r="I14" s="15"/>
      <c r="J14" s="18"/>
    </row>
    <row r="15" customFormat="false" ht="15" hidden="false" customHeight="false" outlineLevel="0" collapsed="false">
      <c r="A15" s="14"/>
      <c r="B15" s="15"/>
      <c r="C15" s="16"/>
      <c r="D15" s="15"/>
      <c r="E15" s="22"/>
      <c r="F15" s="15"/>
      <c r="G15" s="18"/>
      <c r="H15" s="19"/>
      <c r="I15" s="15"/>
      <c r="J15" s="18"/>
    </row>
    <row r="16" customFormat="false" ht="15" hidden="false" customHeight="false" outlineLevel="0" collapsed="false">
      <c r="A16" s="14"/>
      <c r="B16" s="15"/>
      <c r="C16" s="16"/>
      <c r="D16" s="15"/>
      <c r="E16" s="22"/>
      <c r="F16" s="15"/>
      <c r="G16" s="18"/>
      <c r="H16" s="19"/>
      <c r="I16" s="15"/>
      <c r="J16" s="18"/>
    </row>
    <row r="17" customFormat="false" ht="15" hidden="false" customHeight="false" outlineLevel="0" collapsed="false">
      <c r="A17" s="14"/>
      <c r="B17" s="15"/>
      <c r="C17" s="16"/>
      <c r="D17" s="15"/>
      <c r="E17" s="22"/>
      <c r="F17" s="15"/>
      <c r="G17" s="18"/>
      <c r="H17" s="19"/>
      <c r="I17" s="15"/>
      <c r="J17" s="18"/>
    </row>
    <row r="18" customFormat="false" ht="15" hidden="false" customHeight="false" outlineLevel="0" collapsed="false">
      <c r="A18" s="14"/>
      <c r="B18" s="15"/>
      <c r="C18" s="16"/>
      <c r="D18" s="15"/>
      <c r="E18" s="22"/>
      <c r="F18" s="15"/>
      <c r="G18" s="18"/>
      <c r="H18" s="19"/>
      <c r="I18" s="15"/>
      <c r="J18" s="18"/>
    </row>
    <row r="19" customFormat="false" ht="15" hidden="false" customHeight="false" outlineLevel="0" collapsed="false">
      <c r="A19" s="14"/>
      <c r="B19" s="15"/>
      <c r="C19" s="16"/>
      <c r="D19" s="15"/>
      <c r="E19" s="22"/>
      <c r="F19" s="15"/>
      <c r="G19" s="18"/>
      <c r="H19" s="19"/>
      <c r="I19" s="15"/>
      <c r="J19" s="18"/>
    </row>
    <row r="20" customFormat="false" ht="15" hidden="false" customHeight="false" outlineLevel="0" collapsed="false">
      <c r="A20" s="14"/>
      <c r="B20" s="15"/>
      <c r="C20" s="16"/>
      <c r="D20" s="15"/>
      <c r="E20" s="22"/>
      <c r="F20" s="15"/>
      <c r="G20" s="18"/>
      <c r="H20" s="19"/>
      <c r="I20" s="15"/>
      <c r="J20" s="18"/>
    </row>
    <row r="21" customFormat="false" ht="15" hidden="false" customHeight="false" outlineLevel="0" collapsed="false">
      <c r="A21" s="14"/>
      <c r="B21" s="15"/>
      <c r="C21" s="16"/>
      <c r="D21" s="15"/>
      <c r="E21" s="22"/>
      <c r="F21" s="15"/>
      <c r="G21" s="18"/>
      <c r="H21" s="19"/>
      <c r="I21" s="15"/>
      <c r="J21" s="18"/>
    </row>
    <row r="22" customFormat="false" ht="15" hidden="false" customHeight="false" outlineLevel="0" collapsed="false">
      <c r="A22" s="14"/>
      <c r="B22" s="15"/>
      <c r="C22" s="16"/>
      <c r="D22" s="15"/>
      <c r="E22" s="22"/>
      <c r="F22" s="15"/>
      <c r="G22" s="18"/>
      <c r="H22" s="19"/>
      <c r="I22" s="15"/>
      <c r="J22" s="18"/>
    </row>
    <row r="23" customFormat="false" ht="15" hidden="false" customHeight="false" outlineLevel="0" collapsed="false">
      <c r="A23" s="14"/>
      <c r="B23" s="15"/>
      <c r="C23" s="16"/>
      <c r="D23" s="15"/>
      <c r="E23" s="22"/>
      <c r="F23" s="15"/>
      <c r="G23" s="18"/>
      <c r="H23" s="19"/>
      <c r="I23" s="15"/>
      <c r="J23" s="18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A1:R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18" activeCellId="0" sqref="M18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9.42"/>
    <col collapsed="false" customWidth="true" hidden="false" outlineLevel="0" max="3" min="3" style="0" width="9"/>
    <col collapsed="false" customWidth="true" hidden="false" outlineLevel="0" max="4" min="4" style="0" width="9.71"/>
    <col collapsed="false" customWidth="true" hidden="false" outlineLevel="0" max="5" min="5" style="0" width="9"/>
    <col collapsed="false" customWidth="true" hidden="false" outlineLevel="0" max="6" min="6" style="0" width="10.14"/>
    <col collapsed="false" customWidth="true" hidden="false" outlineLevel="0" max="7" min="7" style="0" width="15.57"/>
    <col collapsed="false" customWidth="true" hidden="false" outlineLevel="0" max="10" min="8" style="0" width="9"/>
    <col collapsed="false" customWidth="true" hidden="false" outlineLevel="0" max="12" min="12" style="0" width="9"/>
    <col collapsed="false" customWidth="true" hidden="false" outlineLevel="0" max="14" min="13" style="0" width="9.42"/>
    <col collapsed="false" customWidth="true" hidden="false" outlineLevel="0" max="18" min="15" style="0" width="9"/>
  </cols>
  <sheetData>
    <row r="1" customFormat="false" ht="41.75" hidden="false" customHeight="false" outlineLevel="0" collapsed="false">
      <c r="A1" s="4" t="s">
        <v>9</v>
      </c>
      <c r="B1" s="5" t="s">
        <v>10</v>
      </c>
      <c r="C1" s="6" t="s">
        <v>11</v>
      </c>
      <c r="D1" s="7" t="s">
        <v>12</v>
      </c>
      <c r="E1" s="8" t="s">
        <v>13</v>
      </c>
      <c r="F1" s="7" t="s">
        <v>14</v>
      </c>
      <c r="G1" s="9" t="s">
        <v>15</v>
      </c>
      <c r="H1" s="10" t="s">
        <v>16</v>
      </c>
      <c r="I1" s="11" t="s">
        <v>17</v>
      </c>
      <c r="J1" s="12" t="s">
        <v>18</v>
      </c>
      <c r="L1" s="9" t="s">
        <v>19</v>
      </c>
      <c r="M1" s="9" t="s">
        <v>20</v>
      </c>
      <c r="N1" s="13" t="s">
        <v>21</v>
      </c>
      <c r="O1" s="13" t="s">
        <v>22</v>
      </c>
      <c r="P1" s="13" t="s">
        <v>23</v>
      </c>
      <c r="Q1" s="13" t="s">
        <v>24</v>
      </c>
      <c r="R1" s="13" t="s">
        <v>25</v>
      </c>
    </row>
    <row r="2" customFormat="false" ht="15" hidden="false" customHeight="false" outlineLevel="0" collapsed="false">
      <c r="A2" s="14" t="n">
        <f aca="false">'Таблица 2'!D4</f>
        <v>2.04930780969249</v>
      </c>
      <c r="B2" s="15" t="n">
        <f aca="false">'Таблица 2'!E4</f>
        <v>0.0598923496170356</v>
      </c>
      <c r="C2" s="16" t="n">
        <f aca="false">(A2-$L$2)*(A2-$L$2)</f>
        <v>4.98797452902033</v>
      </c>
      <c r="D2" s="15" t="n">
        <f aca="false">(B2-$M$2)*(B2-$M$2)</f>
        <v>0.00534575070847565</v>
      </c>
      <c r="E2" s="17" t="n">
        <f aca="false">A2-$L$2</f>
        <v>-2.23337738168459</v>
      </c>
      <c r="F2" s="15" t="n">
        <f aca="false">B2-$M$2</f>
        <v>-0.0731146408626593</v>
      </c>
      <c r="G2" s="18" t="n">
        <f aca="false">E2*F2</f>
        <v>0.163292585172655</v>
      </c>
      <c r="H2" s="19" t="n">
        <f aca="false">B2-($O$2+$N$2*A2)</f>
        <v>0.00326031500741102</v>
      </c>
      <c r="I2" s="20" t="n">
        <f aca="false">H2*H2</f>
        <v>1.06296539475495E-005</v>
      </c>
      <c r="J2" s="21" t="n">
        <f aca="false">SQRT(4*$R$2+4*$Q$2*A2*A2)</f>
        <v>0.0277337764734215</v>
      </c>
      <c r="K2" s="19"/>
      <c r="L2" s="19" t="n">
        <f aca="false">SUM(A:A)/COUNT(A:A)</f>
        <v>4.28268519137709</v>
      </c>
      <c r="M2" s="19" t="n">
        <f aca="false">SUM(B:B)/COUNT(B:B)</f>
        <v>0.133006990479695</v>
      </c>
      <c r="N2" s="19" t="n">
        <f aca="false">SUM(G:G)/SUM(C:C)</f>
        <v>0.03419706696074</v>
      </c>
      <c r="O2" s="19" t="n">
        <f aca="false">M2-N2*L2</f>
        <v>-0.0134482817815971</v>
      </c>
      <c r="P2" s="19" t="n">
        <f aca="false">SUM(C:C)</f>
        <v>9.98868527724892</v>
      </c>
      <c r="Q2" s="19" t="n">
        <f aca="false">1/P2*SUM(I:I)/(COUNT(I:I)-2)</f>
        <v>7.67988064816658E-006</v>
      </c>
      <c r="R2" s="19" t="n">
        <f aca="false">(1/COUNT(I:I)+L2*L2/P2)*SUM(I:I)/(COUNT(I:I)-2)</f>
        <v>0.00016003768261555</v>
      </c>
    </row>
    <row r="3" customFormat="false" ht="15" hidden="false" customHeight="false" outlineLevel="0" collapsed="false">
      <c r="A3" s="14" t="n">
        <f aca="false">'Таблица 2'!D10</f>
        <v>3.86206150774329</v>
      </c>
      <c r="B3" s="15" t="n">
        <f aca="false">'Таблица 2'!E10</f>
        <v>0.108774844128191</v>
      </c>
      <c r="C3" s="16" t="n">
        <f aca="false">(A3-$L$2)*(A3-$L$2)</f>
        <v>0.176924283233661</v>
      </c>
      <c r="D3" s="15" t="n">
        <f aca="false">(B3-$M$2)*(B3-$M$2)</f>
        <v>0.000587196916800721</v>
      </c>
      <c r="E3" s="22" t="n">
        <f aca="false">A3-$L$2</f>
        <v>-0.420623683633792</v>
      </c>
      <c r="F3" s="15" t="n">
        <f aca="false">B3-$M$2</f>
        <v>-0.0242321463515043</v>
      </c>
      <c r="G3" s="18" t="n">
        <f aca="false">E3*F3</f>
        <v>0.0101926146607229</v>
      </c>
      <c r="H3" s="19" t="n">
        <f aca="false">B3-($O$2+$N$2*A3)</f>
        <v>-0.00984805007700632</v>
      </c>
      <c r="I3" s="15" t="n">
        <f aca="false">H3*H3</f>
        <v>9.69840903192241E-005</v>
      </c>
      <c r="J3" s="18" t="n">
        <f aca="false">SQRT(4*$R$2+4*$Q$2*A3*A3)</f>
        <v>0.0331413390815199</v>
      </c>
      <c r="K3" s="23"/>
      <c r="L3" s="19"/>
      <c r="M3" s="19"/>
      <c r="N3" s="24" t="s">
        <v>50</v>
      </c>
      <c r="O3" s="24" t="s">
        <v>74</v>
      </c>
      <c r="P3" s="19"/>
      <c r="Q3" s="24" t="s">
        <v>26</v>
      </c>
      <c r="R3" s="24" t="s">
        <v>27</v>
      </c>
    </row>
    <row r="4" customFormat="false" ht="15" hidden="false" customHeight="false" outlineLevel="0" collapsed="false">
      <c r="A4" s="14" t="n">
        <f aca="false">'Таблица 2'!D16</f>
        <v>4.80286305527958</v>
      </c>
      <c r="B4" s="15" t="n">
        <f aca="false">'Таблица 2'!E16</f>
        <v>0.157561514808736</v>
      </c>
      <c r="C4" s="16" t="n">
        <f aca="false">(A4-$L$2)*(A4-$L$2)</f>
        <v>0.270585010094162</v>
      </c>
      <c r="D4" s="15" t="n">
        <f aca="false">(B4-$M$2)*(B4-$M$2)</f>
        <v>0.000602924665025487</v>
      </c>
      <c r="E4" s="22" t="n">
        <f aca="false">A4-$L$2</f>
        <v>0.520177863902495</v>
      </c>
      <c r="F4" s="15" t="n">
        <f aca="false">B4-$M$2</f>
        <v>0.0245545243290414</v>
      </c>
      <c r="G4" s="18" t="n">
        <f aca="false">E4*F4</f>
        <v>0.0127727200146226</v>
      </c>
      <c r="H4" s="19" t="n">
        <f aca="false">B4-($O$2+$N$2*A4)</f>
        <v>0.00676596708567312</v>
      </c>
      <c r="I4" s="15" t="n">
        <f aca="false">H4*H4</f>
        <v>4.5778310604412E-005</v>
      </c>
      <c r="J4" s="18" t="n">
        <f aca="false">SQRT(4*$R$2+4*$Q$2*A4*A4)</f>
        <v>0.0367256466116623</v>
      </c>
      <c r="K4" s="19"/>
      <c r="L4" s="19"/>
      <c r="M4" s="19"/>
      <c r="N4" s="19"/>
      <c r="O4" s="19"/>
      <c r="P4" s="19"/>
      <c r="Q4" s="19" t="n">
        <f aca="false">SQRT(Q2)</f>
        <v>0.00277125975833493</v>
      </c>
      <c r="R4" s="19" t="n">
        <f aca="false">SQRT(R2)</f>
        <v>0.0126506000891479</v>
      </c>
    </row>
    <row r="5" customFormat="false" ht="15" hidden="false" customHeight="false" outlineLevel="0" collapsed="false">
      <c r="A5" s="14" t="n">
        <f aca="false">'Таблица 2'!D22</f>
        <v>6.41650839279298</v>
      </c>
      <c r="B5" s="15" t="n">
        <f aca="false">'Таблица 2'!E22</f>
        <v>0.205799253364817</v>
      </c>
      <c r="C5" s="16" t="n">
        <f aca="false">(A5-$L$2)*(A5-$L$2)</f>
        <v>4.55320145490077</v>
      </c>
      <c r="D5" s="15" t="n">
        <f aca="false">(B5-$M$2)*(B5-$M$2)</f>
        <v>0.00529871353593673</v>
      </c>
      <c r="E5" s="22" t="n">
        <f aca="false">A5-$L$2</f>
        <v>2.13382320141589</v>
      </c>
      <c r="F5" s="15" t="n">
        <f aca="false">B5-$M$2</f>
        <v>0.0727922628851221</v>
      </c>
      <c r="G5" s="18" t="n">
        <f aca="false">E5*F5</f>
        <v>0.155325819427839</v>
      </c>
      <c r="H5" s="19" t="n">
        <f aca="false">B5-($O$2+$N$2*A5)</f>
        <v>-0.000178232016077751</v>
      </c>
      <c r="I5" s="15" t="n">
        <f aca="false">H5*H5</f>
        <v>3.17666515551396E-008</v>
      </c>
      <c r="J5" s="18" t="n">
        <f aca="false">SQRT(4*$R$2+4*$Q$2*A5*A5)</f>
        <v>0.0436454122567185</v>
      </c>
      <c r="K5" s="19"/>
      <c r="L5" s="19"/>
      <c r="M5" s="19"/>
      <c r="N5" s="19"/>
      <c r="O5" s="19"/>
      <c r="P5" s="19"/>
      <c r="Q5" s="24" t="s">
        <v>28</v>
      </c>
      <c r="R5" s="24" t="s">
        <v>29</v>
      </c>
    </row>
    <row r="6" customFormat="false" ht="15" hidden="false" customHeight="false" outlineLevel="0" collapsed="false">
      <c r="A6" s="14"/>
      <c r="B6" s="15"/>
      <c r="C6" s="16"/>
      <c r="D6" s="15"/>
      <c r="E6" s="22"/>
      <c r="F6" s="15"/>
      <c r="G6" s="18"/>
      <c r="H6" s="19"/>
      <c r="I6" s="15"/>
      <c r="J6" s="18"/>
      <c r="K6" s="19"/>
      <c r="L6" s="19"/>
      <c r="M6" s="19"/>
      <c r="N6" s="19"/>
      <c r="O6" s="19"/>
      <c r="P6" s="19"/>
      <c r="Q6" s="19" t="n">
        <f aca="false">Q4*2</f>
        <v>0.00554251951666986</v>
      </c>
      <c r="R6" s="19" t="n">
        <f aca="false">R4*2</f>
        <v>0.0253012001782959</v>
      </c>
    </row>
    <row r="7" customFormat="false" ht="15" hidden="false" customHeight="false" outlineLevel="0" collapsed="false">
      <c r="A7" s="14"/>
      <c r="B7" s="15"/>
      <c r="C7" s="16"/>
      <c r="D7" s="15"/>
      <c r="E7" s="22"/>
      <c r="F7" s="15"/>
      <c r="G7" s="18"/>
      <c r="H7" s="19"/>
      <c r="I7" s="15"/>
      <c r="J7" s="18"/>
      <c r="K7" s="19"/>
      <c r="L7" s="19"/>
      <c r="M7" s="19"/>
      <c r="N7" s="19"/>
      <c r="O7" s="19"/>
      <c r="P7" s="19"/>
      <c r="Q7" s="19"/>
      <c r="R7" s="19"/>
    </row>
    <row r="8" customFormat="false" ht="15" hidden="false" customHeight="false" outlineLevel="0" collapsed="false">
      <c r="A8" s="14"/>
      <c r="B8" s="15"/>
      <c r="C8" s="16"/>
      <c r="D8" s="15"/>
      <c r="E8" s="22"/>
      <c r="F8" s="15"/>
      <c r="G8" s="18"/>
      <c r="H8" s="19"/>
      <c r="I8" s="15"/>
      <c r="J8" s="18"/>
      <c r="K8" s="19"/>
      <c r="L8" s="19"/>
      <c r="M8" s="19"/>
      <c r="N8" s="19"/>
      <c r="O8" s="19"/>
      <c r="P8" s="19"/>
      <c r="Q8" s="19"/>
      <c r="R8" s="19"/>
    </row>
    <row r="9" customFormat="false" ht="15" hidden="false" customHeight="false" outlineLevel="0" collapsed="false">
      <c r="A9" s="14"/>
      <c r="B9" s="15"/>
      <c r="C9" s="16"/>
      <c r="D9" s="15"/>
      <c r="E9" s="22"/>
      <c r="F9" s="15"/>
      <c r="G9" s="18"/>
      <c r="H9" s="19"/>
      <c r="I9" s="15"/>
      <c r="J9" s="18"/>
      <c r="K9" s="19"/>
      <c r="L9" s="19"/>
      <c r="M9" s="19"/>
      <c r="N9" s="19"/>
      <c r="O9" s="19"/>
      <c r="P9" s="19"/>
      <c r="Q9" s="19"/>
      <c r="R9" s="19"/>
    </row>
    <row r="10" customFormat="false" ht="15" hidden="false" customHeight="false" outlineLevel="0" collapsed="false">
      <c r="A10" s="14"/>
      <c r="B10" s="15"/>
      <c r="C10" s="16"/>
      <c r="D10" s="15"/>
      <c r="E10" s="22"/>
      <c r="F10" s="15"/>
      <c r="G10" s="18"/>
      <c r="H10" s="19"/>
      <c r="I10" s="15"/>
      <c r="J10" s="18"/>
    </row>
    <row r="11" customFormat="false" ht="15" hidden="false" customHeight="false" outlineLevel="0" collapsed="false">
      <c r="A11" s="14"/>
      <c r="B11" s="15"/>
      <c r="C11" s="16"/>
      <c r="D11" s="15"/>
      <c r="E11" s="22"/>
      <c r="F11" s="15"/>
      <c r="G11" s="18"/>
      <c r="H11" s="19"/>
      <c r="I11" s="15"/>
      <c r="J11" s="18"/>
    </row>
    <row r="12" customFormat="false" ht="15" hidden="false" customHeight="false" outlineLevel="0" collapsed="false">
      <c r="A12" s="14"/>
      <c r="B12" s="15"/>
      <c r="C12" s="16"/>
      <c r="D12" s="15"/>
      <c r="E12" s="22"/>
      <c r="F12" s="15"/>
      <c r="G12" s="18"/>
      <c r="H12" s="19"/>
      <c r="I12" s="15"/>
      <c r="J12" s="18"/>
    </row>
    <row r="13" customFormat="false" ht="15" hidden="false" customHeight="false" outlineLevel="0" collapsed="false">
      <c r="A13" s="14"/>
      <c r="B13" s="15"/>
      <c r="C13" s="16"/>
      <c r="D13" s="15"/>
      <c r="E13" s="22"/>
      <c r="F13" s="15"/>
      <c r="G13" s="18"/>
      <c r="H13" s="19"/>
      <c r="I13" s="15"/>
      <c r="J13" s="18"/>
    </row>
    <row r="14" customFormat="false" ht="15" hidden="false" customHeight="false" outlineLevel="0" collapsed="false">
      <c r="A14" s="14"/>
      <c r="B14" s="15"/>
      <c r="C14" s="16"/>
      <c r="D14" s="15"/>
      <c r="E14" s="22"/>
      <c r="F14" s="15"/>
      <c r="G14" s="18"/>
      <c r="H14" s="19"/>
      <c r="I14" s="15"/>
      <c r="J14" s="18"/>
    </row>
    <row r="15" customFormat="false" ht="15" hidden="false" customHeight="false" outlineLevel="0" collapsed="false">
      <c r="A15" s="14"/>
      <c r="B15" s="15"/>
      <c r="C15" s="16"/>
      <c r="D15" s="15"/>
      <c r="E15" s="22"/>
      <c r="F15" s="15"/>
      <c r="G15" s="18"/>
      <c r="H15" s="19"/>
      <c r="I15" s="15"/>
      <c r="J15" s="18"/>
    </row>
    <row r="16" customFormat="false" ht="15" hidden="false" customHeight="false" outlineLevel="0" collapsed="false">
      <c r="A16" s="14"/>
      <c r="B16" s="15"/>
      <c r="C16" s="16"/>
      <c r="D16" s="15"/>
      <c r="E16" s="22"/>
      <c r="F16" s="15"/>
      <c r="G16" s="18"/>
      <c r="H16" s="19"/>
      <c r="I16" s="15"/>
      <c r="J16" s="18"/>
    </row>
    <row r="17" customFormat="false" ht="15" hidden="false" customHeight="false" outlineLevel="0" collapsed="false">
      <c r="A17" s="14"/>
      <c r="B17" s="15"/>
      <c r="C17" s="16"/>
      <c r="D17" s="15"/>
      <c r="E17" s="22"/>
      <c r="F17" s="15"/>
      <c r="G17" s="18"/>
      <c r="H17" s="19"/>
      <c r="I17" s="15"/>
      <c r="J17" s="18"/>
    </row>
    <row r="18" customFormat="false" ht="15" hidden="false" customHeight="false" outlineLevel="0" collapsed="false">
      <c r="A18" s="14"/>
      <c r="B18" s="15"/>
      <c r="C18" s="16"/>
      <c r="D18" s="15"/>
      <c r="E18" s="22"/>
      <c r="F18" s="15"/>
      <c r="G18" s="18"/>
      <c r="H18" s="19"/>
      <c r="I18" s="15"/>
      <c r="J18" s="18"/>
    </row>
    <row r="19" customFormat="false" ht="15" hidden="false" customHeight="false" outlineLevel="0" collapsed="false">
      <c r="A19" s="14"/>
      <c r="B19" s="15"/>
      <c r="C19" s="16"/>
      <c r="D19" s="15"/>
      <c r="E19" s="22"/>
      <c r="F19" s="15"/>
      <c r="G19" s="18"/>
      <c r="H19" s="19"/>
      <c r="I19" s="15"/>
      <c r="J19" s="18"/>
    </row>
    <row r="20" customFormat="false" ht="15" hidden="false" customHeight="false" outlineLevel="0" collapsed="false">
      <c r="A20" s="14"/>
      <c r="B20" s="15"/>
      <c r="C20" s="16"/>
      <c r="D20" s="15"/>
      <c r="E20" s="22"/>
      <c r="F20" s="15"/>
      <c r="G20" s="18"/>
      <c r="H20" s="19"/>
      <c r="I20" s="15"/>
      <c r="J20" s="18"/>
    </row>
    <row r="21" customFormat="false" ht="15" hidden="false" customHeight="false" outlineLevel="0" collapsed="false">
      <c r="A21" s="14"/>
      <c r="B21" s="15"/>
      <c r="C21" s="16"/>
      <c r="D21" s="15"/>
      <c r="E21" s="22"/>
      <c r="F21" s="15"/>
      <c r="G21" s="18"/>
      <c r="H21" s="19"/>
      <c r="I21" s="15"/>
      <c r="J21" s="18"/>
    </row>
    <row r="22" customFormat="false" ht="15" hidden="false" customHeight="false" outlineLevel="0" collapsed="false">
      <c r="A22" s="14"/>
      <c r="B22" s="15"/>
      <c r="C22" s="16"/>
      <c r="D22" s="15"/>
      <c r="E22" s="22"/>
      <c r="F22" s="15"/>
      <c r="G22" s="18"/>
      <c r="H22" s="19"/>
      <c r="I22" s="15"/>
      <c r="J22" s="18"/>
    </row>
    <row r="23" customFormat="false" ht="15" hidden="false" customHeight="false" outlineLevel="0" collapsed="false">
      <c r="A23" s="14"/>
      <c r="B23" s="15"/>
      <c r="C23" s="16"/>
      <c r="D23" s="15"/>
      <c r="E23" s="22"/>
      <c r="F23" s="15"/>
      <c r="G23" s="18"/>
      <c r="H23" s="19"/>
      <c r="I23" s="15"/>
      <c r="J23" s="18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A1:R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Q5" activeCellId="0" sqref="Q5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9.42"/>
    <col collapsed="false" customWidth="true" hidden="false" outlineLevel="0" max="3" min="3" style="0" width="9"/>
    <col collapsed="false" customWidth="true" hidden="false" outlineLevel="0" max="4" min="4" style="0" width="9.71"/>
    <col collapsed="false" customWidth="true" hidden="false" outlineLevel="0" max="5" min="5" style="0" width="9"/>
    <col collapsed="false" customWidth="true" hidden="false" outlineLevel="0" max="6" min="6" style="0" width="10.14"/>
    <col collapsed="false" customWidth="true" hidden="false" outlineLevel="0" max="7" min="7" style="0" width="15.57"/>
    <col collapsed="false" customWidth="true" hidden="false" outlineLevel="0" max="10" min="8" style="0" width="9"/>
    <col collapsed="false" customWidth="true" hidden="false" outlineLevel="0" max="12" min="12" style="0" width="9"/>
    <col collapsed="false" customWidth="true" hidden="false" outlineLevel="0" max="14" min="13" style="0" width="9.42"/>
    <col collapsed="false" customWidth="true" hidden="false" outlineLevel="0" max="18" min="15" style="0" width="9"/>
  </cols>
  <sheetData>
    <row r="1" customFormat="false" ht="41.75" hidden="false" customHeight="false" outlineLevel="0" collapsed="false">
      <c r="A1" s="4" t="s">
        <v>9</v>
      </c>
      <c r="B1" s="5" t="s">
        <v>10</v>
      </c>
      <c r="C1" s="6" t="s">
        <v>11</v>
      </c>
      <c r="D1" s="7" t="s">
        <v>12</v>
      </c>
      <c r="E1" s="8" t="s">
        <v>13</v>
      </c>
      <c r="F1" s="7" t="s">
        <v>14</v>
      </c>
      <c r="G1" s="9" t="s">
        <v>15</v>
      </c>
      <c r="H1" s="10" t="s">
        <v>16</v>
      </c>
      <c r="I1" s="11" t="s">
        <v>17</v>
      </c>
      <c r="J1" s="12" t="s">
        <v>18</v>
      </c>
      <c r="L1" s="9" t="s">
        <v>19</v>
      </c>
      <c r="M1" s="9" t="s">
        <v>20</v>
      </c>
      <c r="N1" s="13" t="s">
        <v>21</v>
      </c>
      <c r="O1" s="13" t="s">
        <v>22</v>
      </c>
      <c r="P1" s="13" t="s">
        <v>23</v>
      </c>
      <c r="Q1" s="13" t="s">
        <v>24</v>
      </c>
      <c r="R1" s="13" t="s">
        <v>25</v>
      </c>
    </row>
    <row r="2" customFormat="false" ht="15" hidden="false" customHeight="false" outlineLevel="0" collapsed="false">
      <c r="A2" s="14" t="n">
        <f aca="false">'Таблица 2'!D5</f>
        <v>1.61986659935735</v>
      </c>
      <c r="B2" s="15" t="n">
        <f aca="false">'Таблица 2'!E5</f>
        <v>0.059953005181907</v>
      </c>
      <c r="C2" s="16" t="n">
        <f aca="false">(A2-$L$2)*(A2-$L$2)</f>
        <v>3.13982028289217</v>
      </c>
      <c r="D2" s="15" t="n">
        <f aca="false">(B2-$M$2)*(B2-$M$2)</f>
        <v>0.00538306457372341</v>
      </c>
      <c r="E2" s="17" t="n">
        <f aca="false">A2-$L$2</f>
        <v>-1.77195380382565</v>
      </c>
      <c r="F2" s="15" t="n">
        <f aca="false">B2-$M$2</f>
        <v>-0.0733693708145532</v>
      </c>
      <c r="G2" s="18" t="n">
        <f aca="false">E2*F2</f>
        <v>0.130007135699142</v>
      </c>
      <c r="H2" s="19" t="n">
        <f aca="false">B2-($O$2+$N$2*A2)</f>
        <v>-9.13020779957086E-005</v>
      </c>
      <c r="I2" s="20" t="n">
        <f aca="false">H2*H2</f>
        <v>8.33606944633445E-009</v>
      </c>
      <c r="J2" s="21" t="n">
        <f aca="false">SQRT(4*$R$2+4*$Q$2*A2*A2)</f>
        <v>0.0220148642135303</v>
      </c>
      <c r="K2" s="19"/>
      <c r="L2" s="19" t="n">
        <f aca="false">SUM(A:A)/COUNT(A:A)</f>
        <v>3.391820403183</v>
      </c>
      <c r="M2" s="19" t="n">
        <f aca="false">SUM(B:B)/COUNT(B:B)</f>
        <v>0.13332237599646</v>
      </c>
      <c r="N2" s="19" t="n">
        <f aca="false">SUM(G:G)/SUM(C:C)</f>
        <v>0.0413543900401637</v>
      </c>
      <c r="O2" s="19" t="n">
        <f aca="false">M2-N2*L2</f>
        <v>-0.00694428790295487</v>
      </c>
      <c r="P2" s="19" t="n">
        <f aca="false">SUM(C:C)</f>
        <v>6.90667102572234</v>
      </c>
      <c r="Q2" s="19" t="n">
        <f aca="false">1/P2*SUM(I:I)/(COUNT(I:I)-2)</f>
        <v>7.64193888566085E-006</v>
      </c>
      <c r="R2" s="19" t="n">
        <f aca="false">(1/COUNT(I:I)+L2*L2/P2)*SUM(I:I)/(COUNT(I:I)-2)</f>
        <v>0.000101111360021692</v>
      </c>
    </row>
    <row r="3" customFormat="false" ht="15" hidden="false" customHeight="false" outlineLevel="0" collapsed="false">
      <c r="A3" s="14" t="n">
        <f aca="false">'Таблица 2'!D11</f>
        <v>2.92732211918048</v>
      </c>
      <c r="B3" s="15" t="n">
        <f aca="false">'Таблица 2'!E11</f>
        <v>0.10901565449369</v>
      </c>
      <c r="C3" s="16" t="n">
        <f aca="false">(A3-$L$2)*(A3-$L$2)</f>
        <v>0.21575865584128</v>
      </c>
      <c r="D3" s="15" t="n">
        <f aca="false">(B3-$M$2)*(B3-$M$2)</f>
        <v>0.000590816710213211</v>
      </c>
      <c r="E3" s="22" t="n">
        <f aca="false">A3-$L$2</f>
        <v>-0.464498284002514</v>
      </c>
      <c r="F3" s="15" t="n">
        <f aca="false">B3-$M$2</f>
        <v>-0.0243067215027698</v>
      </c>
      <c r="G3" s="18" t="n">
        <f aca="false">E3*F3</f>
        <v>0.0112904304277636</v>
      </c>
      <c r="H3" s="19" t="n">
        <f aca="false">B3-($O$2+$N$2*A3)</f>
        <v>-0.00509767829314307</v>
      </c>
      <c r="I3" s="15" t="n">
        <f aca="false">H3*H3</f>
        <v>2.59863239803821E-005</v>
      </c>
      <c r="J3" s="18" t="n">
        <f aca="false">SQRT(4*$R$2+4*$Q$2*A3*A3)</f>
        <v>0.0258144746791965</v>
      </c>
      <c r="K3" s="23"/>
      <c r="L3" s="19"/>
      <c r="M3" s="19"/>
      <c r="N3" s="24" t="s">
        <v>50</v>
      </c>
      <c r="O3" s="24" t="s">
        <v>74</v>
      </c>
      <c r="P3" s="19"/>
      <c r="Q3" s="24" t="s">
        <v>26</v>
      </c>
      <c r="R3" s="24" t="s">
        <v>27</v>
      </c>
    </row>
    <row r="4" customFormat="false" ht="15" hidden="false" customHeight="false" outlineLevel="0" collapsed="false">
      <c r="A4" s="14" t="n">
        <f aca="false">'Таблица 2'!D17</f>
        <v>3.78539718144734</v>
      </c>
      <c r="B4" s="15" t="n">
        <f aca="false">'Таблица 2'!E17</f>
        <v>0.157942050097947</v>
      </c>
      <c r="C4" s="16" t="n">
        <f aca="false">(A4-$L$2)*(A4-$L$2)</f>
        <v>0.154902680388936</v>
      </c>
      <c r="D4" s="15" t="n">
        <f aca="false">(B4-$M$2)*(B4-$M$2)</f>
        <v>0.000606128352863431</v>
      </c>
      <c r="E4" s="22" t="n">
        <f aca="false">A4-$L$2</f>
        <v>0.393576778264338</v>
      </c>
      <c r="F4" s="15" t="n">
        <f aca="false">B4-$M$2</f>
        <v>0.024619674101487</v>
      </c>
      <c r="G4" s="18" t="n">
        <f aca="false">E4*F4</f>
        <v>0.00968973201478123</v>
      </c>
      <c r="H4" s="19" t="n">
        <f aca="false">B4-($O$2+$N$2*A4)</f>
        <v>0.00834354650239258</v>
      </c>
      <c r="I4" s="15" t="n">
        <f aca="false">H4*H4</f>
        <v>6.96147682375874E-005</v>
      </c>
      <c r="J4" s="18" t="n">
        <f aca="false">SQRT(4*$R$2+4*$Q$2*A4*A4)</f>
        <v>0.0290251252454562</v>
      </c>
      <c r="K4" s="19"/>
      <c r="L4" s="19"/>
      <c r="M4" s="19"/>
      <c r="N4" s="19"/>
      <c r="O4" s="19"/>
      <c r="P4" s="19"/>
      <c r="Q4" s="19" t="n">
        <f aca="false">SQRT(Q2)</f>
        <v>0.00276440570207429</v>
      </c>
      <c r="R4" s="19" t="n">
        <f aca="false">SQRT(R2)</f>
        <v>0.0100554144629494</v>
      </c>
    </row>
    <row r="5" customFormat="false" ht="15" hidden="false" customHeight="false" outlineLevel="0" collapsed="false">
      <c r="A5" s="14" t="n">
        <f aca="false">'Таблица 2'!D23</f>
        <v>5.23469571274682</v>
      </c>
      <c r="B5" s="15" t="n">
        <f aca="false">'Таблица 2'!E23</f>
        <v>0.206378794212296</v>
      </c>
      <c r="C5" s="16" t="n">
        <f aca="false">(A5-$L$2)*(A5-$L$2)</f>
        <v>3.39618940659995</v>
      </c>
      <c r="D5" s="15" t="n">
        <f aca="false">(B5-$M$2)*(B5-$M$2)</f>
        <v>0.00533724024252712</v>
      </c>
      <c r="E5" s="22" t="n">
        <f aca="false">A5-$L$2</f>
        <v>1.84287530956382</v>
      </c>
      <c r="F5" s="15" t="n">
        <f aca="false">B5-$M$2</f>
        <v>0.0730564182158359</v>
      </c>
      <c r="G5" s="18" t="n">
        <f aca="false">E5*F5</f>
        <v>0.134633869335133</v>
      </c>
      <c r="H5" s="19" t="n">
        <f aca="false">B5-($O$2+$N$2*A5)</f>
        <v>-0.00315456613125378</v>
      </c>
      <c r="I5" s="15" t="n">
        <f aca="false">H5*H5</f>
        <v>9.95128747645346E-006</v>
      </c>
      <c r="J5" s="18" t="n">
        <f aca="false">SQRT(4*$R$2+4*$Q$2*A5*A5)</f>
        <v>0.0352429322826104</v>
      </c>
      <c r="K5" s="19"/>
      <c r="L5" s="19"/>
      <c r="M5" s="19"/>
      <c r="N5" s="19"/>
      <c r="O5" s="19"/>
      <c r="P5" s="19"/>
      <c r="Q5" s="24" t="s">
        <v>28</v>
      </c>
      <c r="R5" s="24" t="s">
        <v>29</v>
      </c>
    </row>
    <row r="6" customFormat="false" ht="15" hidden="false" customHeight="false" outlineLevel="0" collapsed="false">
      <c r="A6" s="14"/>
      <c r="B6" s="15"/>
      <c r="C6" s="16"/>
      <c r="D6" s="15"/>
      <c r="E6" s="22"/>
      <c r="F6" s="15"/>
      <c r="G6" s="18"/>
      <c r="H6" s="19"/>
      <c r="I6" s="15"/>
      <c r="J6" s="18"/>
      <c r="K6" s="19"/>
      <c r="L6" s="19"/>
      <c r="M6" s="19"/>
      <c r="N6" s="19"/>
      <c r="O6" s="19"/>
      <c r="P6" s="19"/>
      <c r="Q6" s="19" t="n">
        <f aca="false">Q4*2</f>
        <v>0.00552881140414858</v>
      </c>
      <c r="R6" s="19" t="n">
        <f aca="false">R4*2</f>
        <v>0.0201108289258988</v>
      </c>
    </row>
    <row r="7" customFormat="false" ht="15" hidden="false" customHeight="false" outlineLevel="0" collapsed="false">
      <c r="A7" s="14"/>
      <c r="B7" s="15"/>
      <c r="C7" s="16"/>
      <c r="D7" s="15"/>
      <c r="E7" s="22"/>
      <c r="F7" s="15"/>
      <c r="G7" s="18"/>
      <c r="H7" s="19"/>
      <c r="I7" s="15"/>
      <c r="J7" s="18"/>
      <c r="K7" s="19"/>
      <c r="L7" s="19"/>
      <c r="M7" s="19"/>
      <c r="N7" s="19"/>
      <c r="O7" s="19"/>
      <c r="P7" s="19"/>
      <c r="Q7" s="19"/>
      <c r="R7" s="19"/>
    </row>
    <row r="8" customFormat="false" ht="15" hidden="false" customHeight="false" outlineLevel="0" collapsed="false">
      <c r="A8" s="14"/>
      <c r="B8" s="15"/>
      <c r="C8" s="16"/>
      <c r="D8" s="15"/>
      <c r="E8" s="22"/>
      <c r="F8" s="15"/>
      <c r="G8" s="18"/>
      <c r="H8" s="19"/>
      <c r="I8" s="15"/>
      <c r="J8" s="18"/>
      <c r="K8" s="19"/>
      <c r="L8" s="19"/>
      <c r="M8" s="19"/>
      <c r="N8" s="19"/>
      <c r="O8" s="19"/>
      <c r="P8" s="19"/>
      <c r="Q8" s="19"/>
      <c r="R8" s="19"/>
    </row>
    <row r="9" customFormat="false" ht="15" hidden="false" customHeight="false" outlineLevel="0" collapsed="false">
      <c r="A9" s="14"/>
      <c r="B9" s="15"/>
      <c r="C9" s="16"/>
      <c r="D9" s="15"/>
      <c r="E9" s="22"/>
      <c r="F9" s="15"/>
      <c r="G9" s="18"/>
      <c r="H9" s="19"/>
      <c r="I9" s="15"/>
      <c r="J9" s="18"/>
      <c r="K9" s="19"/>
      <c r="L9" s="19"/>
      <c r="M9" s="19"/>
      <c r="N9" s="19"/>
      <c r="O9" s="19"/>
      <c r="P9" s="19"/>
      <c r="Q9" s="19"/>
      <c r="R9" s="19"/>
    </row>
    <row r="10" customFormat="false" ht="15" hidden="false" customHeight="false" outlineLevel="0" collapsed="false">
      <c r="A10" s="14"/>
      <c r="B10" s="15"/>
      <c r="C10" s="16"/>
      <c r="D10" s="15"/>
      <c r="E10" s="22"/>
      <c r="F10" s="15"/>
      <c r="G10" s="18"/>
      <c r="H10" s="19"/>
      <c r="I10" s="15"/>
      <c r="J10" s="18"/>
    </row>
    <row r="11" customFormat="false" ht="15" hidden="false" customHeight="false" outlineLevel="0" collapsed="false">
      <c r="A11" s="14"/>
      <c r="B11" s="15"/>
      <c r="C11" s="16"/>
      <c r="D11" s="15"/>
      <c r="E11" s="22"/>
      <c r="F11" s="15"/>
      <c r="G11" s="18"/>
      <c r="H11" s="19"/>
      <c r="I11" s="15"/>
      <c r="J11" s="18"/>
    </row>
    <row r="12" customFormat="false" ht="15" hidden="false" customHeight="false" outlineLevel="0" collapsed="false">
      <c r="A12" s="14"/>
      <c r="B12" s="15"/>
      <c r="C12" s="16"/>
      <c r="D12" s="15"/>
      <c r="E12" s="22"/>
      <c r="F12" s="15"/>
      <c r="G12" s="18"/>
      <c r="H12" s="19"/>
      <c r="I12" s="15"/>
      <c r="J12" s="18"/>
    </row>
    <row r="13" customFormat="false" ht="15" hidden="false" customHeight="false" outlineLevel="0" collapsed="false">
      <c r="A13" s="14"/>
      <c r="B13" s="15"/>
      <c r="C13" s="16"/>
      <c r="D13" s="15"/>
      <c r="E13" s="22"/>
      <c r="F13" s="15"/>
      <c r="G13" s="18"/>
      <c r="H13" s="19"/>
      <c r="I13" s="15"/>
      <c r="J13" s="18"/>
    </row>
    <row r="14" customFormat="false" ht="15" hidden="false" customHeight="false" outlineLevel="0" collapsed="false">
      <c r="A14" s="14"/>
      <c r="B14" s="15"/>
      <c r="C14" s="16"/>
      <c r="D14" s="15"/>
      <c r="E14" s="22"/>
      <c r="F14" s="15"/>
      <c r="G14" s="18"/>
      <c r="H14" s="19"/>
      <c r="I14" s="15"/>
      <c r="J14" s="18"/>
    </row>
    <row r="15" customFormat="false" ht="15" hidden="false" customHeight="false" outlineLevel="0" collapsed="false">
      <c r="A15" s="14"/>
      <c r="B15" s="15"/>
      <c r="C15" s="16"/>
      <c r="D15" s="15"/>
      <c r="E15" s="22"/>
      <c r="F15" s="15"/>
      <c r="G15" s="18"/>
      <c r="H15" s="19"/>
      <c r="I15" s="15"/>
      <c r="J15" s="18"/>
    </row>
    <row r="16" customFormat="false" ht="15" hidden="false" customHeight="false" outlineLevel="0" collapsed="false">
      <c r="A16" s="14"/>
      <c r="B16" s="15"/>
      <c r="C16" s="16"/>
      <c r="D16" s="15"/>
      <c r="E16" s="22"/>
      <c r="F16" s="15"/>
      <c r="G16" s="18"/>
      <c r="H16" s="19"/>
      <c r="I16" s="15"/>
      <c r="J16" s="18"/>
    </row>
    <row r="17" customFormat="false" ht="15" hidden="false" customHeight="false" outlineLevel="0" collapsed="false">
      <c r="A17" s="14"/>
      <c r="B17" s="15"/>
      <c r="C17" s="16"/>
      <c r="D17" s="15"/>
      <c r="E17" s="22"/>
      <c r="F17" s="15"/>
      <c r="G17" s="18"/>
      <c r="H17" s="19"/>
      <c r="I17" s="15"/>
      <c r="J17" s="18"/>
    </row>
    <row r="18" customFormat="false" ht="15" hidden="false" customHeight="false" outlineLevel="0" collapsed="false">
      <c r="A18" s="14"/>
      <c r="B18" s="15"/>
      <c r="C18" s="16"/>
      <c r="D18" s="15"/>
      <c r="E18" s="22"/>
      <c r="F18" s="15"/>
      <c r="G18" s="18"/>
      <c r="H18" s="19"/>
      <c r="I18" s="15"/>
      <c r="J18" s="18"/>
    </row>
    <row r="19" customFormat="false" ht="15" hidden="false" customHeight="false" outlineLevel="0" collapsed="false">
      <c r="A19" s="14"/>
      <c r="B19" s="15"/>
      <c r="C19" s="16"/>
      <c r="D19" s="15"/>
      <c r="E19" s="22"/>
      <c r="F19" s="15"/>
      <c r="G19" s="18"/>
      <c r="H19" s="19"/>
      <c r="I19" s="15"/>
      <c r="J19" s="18"/>
    </row>
    <row r="20" customFormat="false" ht="15" hidden="false" customHeight="false" outlineLevel="0" collapsed="false">
      <c r="A20" s="14"/>
      <c r="B20" s="15"/>
      <c r="C20" s="16"/>
      <c r="D20" s="15"/>
      <c r="E20" s="22"/>
      <c r="F20" s="15"/>
      <c r="G20" s="18"/>
      <c r="H20" s="19"/>
      <c r="I20" s="15"/>
      <c r="J20" s="18"/>
    </row>
    <row r="21" customFormat="false" ht="15" hidden="false" customHeight="false" outlineLevel="0" collapsed="false">
      <c r="A21" s="14"/>
      <c r="B21" s="15"/>
      <c r="C21" s="16"/>
      <c r="D21" s="15"/>
      <c r="E21" s="22"/>
      <c r="F21" s="15"/>
      <c r="G21" s="18"/>
      <c r="H21" s="19"/>
      <c r="I21" s="15"/>
      <c r="J21" s="18"/>
    </row>
    <row r="22" customFormat="false" ht="15" hidden="false" customHeight="false" outlineLevel="0" collapsed="false">
      <c r="A22" s="14"/>
      <c r="B22" s="15"/>
      <c r="C22" s="16"/>
      <c r="D22" s="15"/>
      <c r="E22" s="22"/>
      <c r="F22" s="15"/>
      <c r="G22" s="18"/>
      <c r="H22" s="19"/>
      <c r="I22" s="15"/>
      <c r="J22" s="18"/>
    </row>
    <row r="23" customFormat="false" ht="15" hidden="false" customHeight="false" outlineLevel="0" collapsed="false">
      <c r="A23" s="14"/>
      <c r="B23" s="15"/>
      <c r="C23" s="16"/>
      <c r="D23" s="15"/>
      <c r="E23" s="22"/>
      <c r="F23" s="15"/>
      <c r="G23" s="18"/>
      <c r="H23" s="19"/>
      <c r="I23" s="15"/>
      <c r="J23" s="18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A1:R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Q5" activeCellId="0" sqref="Q5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9.42"/>
    <col collapsed="false" customWidth="true" hidden="false" outlineLevel="0" max="3" min="3" style="0" width="9"/>
    <col collapsed="false" customWidth="true" hidden="false" outlineLevel="0" max="4" min="4" style="0" width="9.71"/>
    <col collapsed="false" customWidth="true" hidden="false" outlineLevel="0" max="5" min="5" style="0" width="9"/>
    <col collapsed="false" customWidth="true" hidden="false" outlineLevel="0" max="6" min="6" style="0" width="10.14"/>
    <col collapsed="false" customWidth="true" hidden="false" outlineLevel="0" max="7" min="7" style="0" width="15.57"/>
    <col collapsed="false" customWidth="true" hidden="false" outlineLevel="0" max="10" min="8" style="0" width="9"/>
    <col collapsed="false" customWidth="true" hidden="false" outlineLevel="0" max="12" min="12" style="0" width="9"/>
    <col collapsed="false" customWidth="true" hidden="false" outlineLevel="0" max="14" min="13" style="0" width="9.42"/>
    <col collapsed="false" customWidth="true" hidden="false" outlineLevel="0" max="18" min="15" style="0" width="9"/>
  </cols>
  <sheetData>
    <row r="1" customFormat="false" ht="41.75" hidden="false" customHeight="false" outlineLevel="0" collapsed="false">
      <c r="A1" s="4" t="s">
        <v>9</v>
      </c>
      <c r="B1" s="5" t="s">
        <v>10</v>
      </c>
      <c r="C1" s="6" t="s">
        <v>11</v>
      </c>
      <c r="D1" s="7" t="s">
        <v>12</v>
      </c>
      <c r="E1" s="8" t="s">
        <v>13</v>
      </c>
      <c r="F1" s="7" t="s">
        <v>14</v>
      </c>
      <c r="G1" s="9" t="s">
        <v>15</v>
      </c>
      <c r="H1" s="10" t="s">
        <v>16</v>
      </c>
      <c r="I1" s="11" t="s">
        <v>17</v>
      </c>
      <c r="J1" s="12" t="s">
        <v>18</v>
      </c>
      <c r="L1" s="9" t="s">
        <v>19</v>
      </c>
      <c r="M1" s="9" t="s">
        <v>20</v>
      </c>
      <c r="N1" s="13" t="s">
        <v>21</v>
      </c>
      <c r="O1" s="13" t="s">
        <v>22</v>
      </c>
      <c r="P1" s="13" t="s">
        <v>23</v>
      </c>
      <c r="Q1" s="13" t="s">
        <v>24</v>
      </c>
      <c r="R1" s="13" t="s">
        <v>25</v>
      </c>
    </row>
    <row r="2" customFormat="false" ht="15" hidden="false" customHeight="false" outlineLevel="0" collapsed="false">
      <c r="A2" s="14" t="n">
        <f aca="false">'Таблица 2'!D6</f>
        <v>1.09669952195651</v>
      </c>
      <c r="B2" s="15" t="n">
        <f aca="false">'Таблица 2'!E6</f>
        <v>0.0600268988694203</v>
      </c>
      <c r="C2" s="16" t="n">
        <f aca="false">(A2-$L$2)*(A2-$L$2)</f>
        <v>2.30605171468849</v>
      </c>
      <c r="D2" s="15" t="n">
        <f aca="false">(B2-$M$2)*(B2-$M$2)</f>
        <v>0.00541132158627048</v>
      </c>
      <c r="E2" s="17" t="n">
        <f aca="false">A2-$L$2</f>
        <v>-1.51856896935519</v>
      </c>
      <c r="F2" s="15" t="n">
        <f aca="false">B2-$M$2</f>
        <v>-0.0735616855861153</v>
      </c>
      <c r="G2" s="18" t="n">
        <f aca="false">E2*F2</f>
        <v>0.111708493064538</v>
      </c>
      <c r="H2" s="19" t="n">
        <f aca="false">B2-($O$2+$N$2*A2)</f>
        <v>-0.00126171059393431</v>
      </c>
      <c r="I2" s="20" t="n">
        <f aca="false">H2*H2</f>
        <v>1.59191362284607E-006</v>
      </c>
      <c r="J2" s="21" t="n">
        <f aca="false">SQRT(4*$R$2+4*$Q$2*A2*A2)</f>
        <v>0.00953598508222772</v>
      </c>
      <c r="K2" s="19"/>
      <c r="L2" s="19" t="n">
        <f aca="false">SUM(A:A)/COUNT(A:A)</f>
        <v>2.6152684913117</v>
      </c>
      <c r="M2" s="19" t="n">
        <f aca="false">SUM(B:B)/COUNT(B:B)</f>
        <v>0.133588584455536</v>
      </c>
      <c r="N2" s="19" t="n">
        <f aca="false">SUM(G:G)/SUM(C:C)</f>
        <v>0.0476105968521671</v>
      </c>
      <c r="O2" s="19" t="n">
        <f aca="false">M2-N2*L2</f>
        <v>0.00907409065551872</v>
      </c>
      <c r="P2" s="19" t="n">
        <f aca="false">SUM(C:C)</f>
        <v>5.27612444580671</v>
      </c>
      <c r="Q2" s="19" t="n">
        <f aca="false">1/P2*SUM(I:I)/(COUNT(I:I)-2)</f>
        <v>2.42845386565714E-006</v>
      </c>
      <c r="R2" s="19" t="n">
        <f aca="false">(1/COUNT(I:I)+L2*L2/P2)*SUM(I:I)/(COUNT(I:I)-2)</f>
        <v>1.98129303702062E-005</v>
      </c>
    </row>
    <row r="3" customFormat="false" ht="15" hidden="false" customHeight="false" outlineLevel="0" collapsed="false">
      <c r="A3" s="14" t="n">
        <f aca="false">'Таблица 2'!D12</f>
        <v>2.03434940852018</v>
      </c>
      <c r="B3" s="15" t="n">
        <f aca="false">'Таблица 2'!E12</f>
        <v>0.109245704802329</v>
      </c>
      <c r="C3" s="16" t="n">
        <f aca="false">(A3-$L$2)*(A3-$L$2)</f>
        <v>0.33746698075135</v>
      </c>
      <c r="D3" s="15" t="n">
        <f aca="false">(B3-$M$2)*(B3-$M$2)</f>
        <v>0.000592575789810507</v>
      </c>
      <c r="E3" s="22" t="n">
        <f aca="false">A3-$L$2</f>
        <v>-0.580919082791528</v>
      </c>
      <c r="F3" s="15" t="n">
        <f aca="false">B3-$M$2</f>
        <v>-0.0243428796532068</v>
      </c>
      <c r="G3" s="18" t="n">
        <f aca="false">E3*F3</f>
        <v>0.0141412433206454</v>
      </c>
      <c r="H3" s="19" t="n">
        <f aca="false">B3-($O$2+$N$2*A3)</f>
        <v>0.00331502460131138</v>
      </c>
      <c r="I3" s="15" t="n">
        <f aca="false">H3*H3</f>
        <v>1.09893881072996E-005</v>
      </c>
      <c r="J3" s="18" t="n">
        <f aca="false">SQRT(4*$R$2+4*$Q$2*A3*A3)</f>
        <v>0.0109294601764457</v>
      </c>
      <c r="K3" s="23"/>
      <c r="L3" s="19"/>
      <c r="M3" s="19"/>
      <c r="N3" s="24" t="s">
        <v>50</v>
      </c>
      <c r="O3" s="24" t="s">
        <v>74</v>
      </c>
      <c r="P3" s="19"/>
      <c r="Q3" s="24" t="s">
        <v>26</v>
      </c>
      <c r="R3" s="24" t="s">
        <v>27</v>
      </c>
    </row>
    <row r="4" customFormat="false" ht="15" hidden="false" customHeight="false" outlineLevel="0" collapsed="false">
      <c r="A4" s="14" t="n">
        <f aca="false">'Таблица 2'!D18</f>
        <v>3.20204345264452</v>
      </c>
      <c r="B4" s="15" t="n">
        <f aca="false">'Таблица 2'!E18</f>
        <v>0.158160226142581</v>
      </c>
      <c r="C4" s="16" t="n">
        <f aca="false">(A4-$L$2)*(A4-$L$2)</f>
        <v>0.344304855247131</v>
      </c>
      <c r="D4" s="15" t="n">
        <f aca="false">(B4-$M$2)*(B4-$M$2)</f>
        <v>0.000603765575196529</v>
      </c>
      <c r="E4" s="22" t="n">
        <f aca="false">A4-$L$2</f>
        <v>0.586774961332818</v>
      </c>
      <c r="F4" s="15" t="n">
        <f aca="false">B4-$M$2</f>
        <v>0.024571641687045</v>
      </c>
      <c r="G4" s="18" t="n">
        <f aca="false">E4*F4</f>
        <v>0.0144180241007997</v>
      </c>
      <c r="H4" s="19" t="n">
        <f aca="false">B4-($O$2+$N$2*A4)</f>
        <v>-0.00336506443991771</v>
      </c>
      <c r="I4" s="15" t="n">
        <f aca="false">H4*H4</f>
        <v>1.13236586847987E-005</v>
      </c>
      <c r="J4" s="18" t="n">
        <f aca="false">SQRT(4*$R$2+4*$Q$2*A4*A4)</f>
        <v>0.0133734165642232</v>
      </c>
      <c r="K4" s="19"/>
      <c r="L4" s="19"/>
      <c r="M4" s="19"/>
      <c r="N4" s="19"/>
      <c r="O4" s="19"/>
      <c r="P4" s="19"/>
      <c r="Q4" s="19" t="n">
        <f aca="false">SQRT(Q2)</f>
        <v>0.00155834972508007</v>
      </c>
      <c r="R4" s="19" t="n">
        <f aca="false">SQRT(R2)</f>
        <v>0.00445117179742663</v>
      </c>
    </row>
    <row r="5" customFormat="false" ht="15" hidden="false" customHeight="false" outlineLevel="0" collapsed="false">
      <c r="A5" s="14" t="n">
        <f aca="false">'Таблица 2'!D24</f>
        <v>4.1279815821256</v>
      </c>
      <c r="B5" s="15" t="n">
        <f aca="false">'Таблица 2'!E24</f>
        <v>0.206921508007813</v>
      </c>
      <c r="C5" s="16" t="n">
        <f aca="false">(A5-$L$2)*(A5-$L$2)</f>
        <v>2.28830089511975</v>
      </c>
      <c r="D5" s="15" t="n">
        <f aca="false">(B5-$M$2)*(B5-$M$2)</f>
        <v>0.00537771767672409</v>
      </c>
      <c r="E5" s="22" t="n">
        <f aca="false">A5-$L$2</f>
        <v>1.5127130908139</v>
      </c>
      <c r="F5" s="15" t="n">
        <f aca="false">B5-$M$2</f>
        <v>0.0733329235522769</v>
      </c>
      <c r="G5" s="18" t="n">
        <f aca="false">E5*F5</f>
        <v>0.110931673445184</v>
      </c>
      <c r="H5" s="19" t="n">
        <f aca="false">B5-($O$2+$N$2*A5)</f>
        <v>0.00131175043254061</v>
      </c>
      <c r="I5" s="15" t="n">
        <f aca="false">H5*H5</f>
        <v>1.72068919727049E-006</v>
      </c>
      <c r="J5" s="18" t="n">
        <f aca="false">SQRT(4*$R$2+4*$Q$2*A5*A5)</f>
        <v>0.0156453632111683</v>
      </c>
      <c r="K5" s="19"/>
      <c r="L5" s="19"/>
      <c r="M5" s="19"/>
      <c r="N5" s="19"/>
      <c r="O5" s="19"/>
      <c r="P5" s="19"/>
      <c r="Q5" s="24" t="s">
        <v>28</v>
      </c>
      <c r="R5" s="24" t="s">
        <v>29</v>
      </c>
    </row>
    <row r="6" customFormat="false" ht="15" hidden="false" customHeight="false" outlineLevel="0" collapsed="false">
      <c r="A6" s="14"/>
      <c r="B6" s="15"/>
      <c r="C6" s="16"/>
      <c r="D6" s="15"/>
      <c r="E6" s="22"/>
      <c r="F6" s="15"/>
      <c r="G6" s="18"/>
      <c r="H6" s="19"/>
      <c r="I6" s="15"/>
      <c r="J6" s="18"/>
      <c r="K6" s="19"/>
      <c r="L6" s="19"/>
      <c r="M6" s="19"/>
      <c r="N6" s="19"/>
      <c r="O6" s="19"/>
      <c r="P6" s="19"/>
      <c r="Q6" s="19" t="n">
        <f aca="false">Q4*2</f>
        <v>0.00311669945016015</v>
      </c>
      <c r="R6" s="19" t="n">
        <f aca="false">R4*2</f>
        <v>0.00890234359485326</v>
      </c>
    </row>
    <row r="7" customFormat="false" ht="15" hidden="false" customHeight="false" outlineLevel="0" collapsed="false">
      <c r="A7" s="14"/>
      <c r="B7" s="15"/>
      <c r="C7" s="16"/>
      <c r="D7" s="15"/>
      <c r="E7" s="22"/>
      <c r="F7" s="15"/>
      <c r="G7" s="18"/>
      <c r="H7" s="19"/>
      <c r="I7" s="15"/>
      <c r="J7" s="18"/>
      <c r="K7" s="19"/>
      <c r="L7" s="19"/>
      <c r="M7" s="19"/>
      <c r="N7" s="19"/>
      <c r="O7" s="19"/>
      <c r="P7" s="19"/>
      <c r="Q7" s="19"/>
      <c r="R7" s="19"/>
    </row>
    <row r="8" customFormat="false" ht="15" hidden="false" customHeight="false" outlineLevel="0" collapsed="false">
      <c r="A8" s="14"/>
      <c r="B8" s="15"/>
      <c r="C8" s="16"/>
      <c r="D8" s="15"/>
      <c r="E8" s="22"/>
      <c r="F8" s="15"/>
      <c r="G8" s="18"/>
      <c r="H8" s="19"/>
      <c r="I8" s="15"/>
      <c r="J8" s="18"/>
      <c r="K8" s="19"/>
      <c r="L8" s="19"/>
      <c r="M8" s="19"/>
      <c r="N8" s="19"/>
      <c r="O8" s="19"/>
      <c r="P8" s="19"/>
      <c r="Q8" s="19"/>
      <c r="R8" s="19"/>
    </row>
    <row r="9" customFormat="false" ht="15" hidden="false" customHeight="false" outlineLevel="0" collapsed="false">
      <c r="A9" s="14"/>
      <c r="B9" s="15"/>
      <c r="C9" s="16"/>
      <c r="D9" s="15"/>
      <c r="E9" s="22"/>
      <c r="F9" s="15"/>
      <c r="G9" s="18"/>
      <c r="H9" s="19"/>
      <c r="I9" s="15"/>
      <c r="J9" s="18"/>
      <c r="K9" s="19"/>
      <c r="L9" s="19"/>
      <c r="M9" s="19"/>
      <c r="N9" s="19"/>
      <c r="O9" s="19"/>
      <c r="P9" s="19"/>
      <c r="Q9" s="19"/>
      <c r="R9" s="19"/>
    </row>
    <row r="10" customFormat="false" ht="15" hidden="false" customHeight="false" outlineLevel="0" collapsed="false">
      <c r="A10" s="14"/>
      <c r="B10" s="15"/>
      <c r="C10" s="16"/>
      <c r="D10" s="15"/>
      <c r="E10" s="22"/>
      <c r="F10" s="15"/>
      <c r="G10" s="18"/>
      <c r="H10" s="19"/>
      <c r="I10" s="15"/>
      <c r="J10" s="18"/>
    </row>
    <row r="11" customFormat="false" ht="15" hidden="false" customHeight="false" outlineLevel="0" collapsed="false">
      <c r="A11" s="14"/>
      <c r="B11" s="15"/>
      <c r="C11" s="16"/>
      <c r="D11" s="15"/>
      <c r="E11" s="22"/>
      <c r="F11" s="15"/>
      <c r="G11" s="18"/>
      <c r="H11" s="19"/>
      <c r="I11" s="15"/>
      <c r="J11" s="18"/>
    </row>
    <row r="12" customFormat="false" ht="15" hidden="false" customHeight="false" outlineLevel="0" collapsed="false">
      <c r="A12" s="14"/>
      <c r="B12" s="15"/>
      <c r="C12" s="16"/>
      <c r="D12" s="15"/>
      <c r="E12" s="22"/>
      <c r="F12" s="15"/>
      <c r="G12" s="18"/>
      <c r="H12" s="19"/>
      <c r="I12" s="15"/>
      <c r="J12" s="18"/>
    </row>
    <row r="13" customFormat="false" ht="15" hidden="false" customHeight="false" outlineLevel="0" collapsed="false">
      <c r="A13" s="14"/>
      <c r="B13" s="15"/>
      <c r="C13" s="16"/>
      <c r="D13" s="15"/>
      <c r="E13" s="22"/>
      <c r="F13" s="15"/>
      <c r="G13" s="18"/>
      <c r="H13" s="19"/>
      <c r="I13" s="15"/>
      <c r="J13" s="18"/>
    </row>
    <row r="14" customFormat="false" ht="15" hidden="false" customHeight="false" outlineLevel="0" collapsed="false">
      <c r="A14" s="14"/>
      <c r="B14" s="15"/>
      <c r="C14" s="16"/>
      <c r="D14" s="15"/>
      <c r="E14" s="22"/>
      <c r="F14" s="15"/>
      <c r="G14" s="18"/>
      <c r="H14" s="19"/>
      <c r="I14" s="15"/>
      <c r="J14" s="18"/>
    </row>
    <row r="15" customFormat="false" ht="15" hidden="false" customHeight="false" outlineLevel="0" collapsed="false">
      <c r="A15" s="14"/>
      <c r="B15" s="15"/>
      <c r="C15" s="16"/>
      <c r="D15" s="15"/>
      <c r="E15" s="22"/>
      <c r="F15" s="15"/>
      <c r="G15" s="18"/>
      <c r="H15" s="19"/>
      <c r="I15" s="15"/>
      <c r="J15" s="18"/>
    </row>
    <row r="16" customFormat="false" ht="15" hidden="false" customHeight="false" outlineLevel="0" collapsed="false">
      <c r="A16" s="14"/>
      <c r="B16" s="15"/>
      <c r="C16" s="16"/>
      <c r="D16" s="15"/>
      <c r="E16" s="22"/>
      <c r="F16" s="15"/>
      <c r="G16" s="18"/>
      <c r="H16" s="19"/>
      <c r="I16" s="15"/>
      <c r="J16" s="18"/>
    </row>
    <row r="17" customFormat="false" ht="15" hidden="false" customHeight="false" outlineLevel="0" collapsed="false">
      <c r="A17" s="14"/>
      <c r="B17" s="15"/>
      <c r="C17" s="16"/>
      <c r="D17" s="15"/>
      <c r="E17" s="22"/>
      <c r="F17" s="15"/>
      <c r="G17" s="18"/>
      <c r="H17" s="19"/>
      <c r="I17" s="15"/>
      <c r="J17" s="18"/>
    </row>
    <row r="18" customFormat="false" ht="15" hidden="false" customHeight="false" outlineLevel="0" collapsed="false">
      <c r="A18" s="14"/>
      <c r="B18" s="15"/>
      <c r="C18" s="16"/>
      <c r="D18" s="15"/>
      <c r="E18" s="22"/>
      <c r="F18" s="15"/>
      <c r="G18" s="18"/>
      <c r="H18" s="19"/>
      <c r="I18" s="15"/>
      <c r="J18" s="18"/>
    </row>
    <row r="19" customFormat="false" ht="15" hidden="false" customHeight="false" outlineLevel="0" collapsed="false">
      <c r="A19" s="14"/>
      <c r="B19" s="15"/>
      <c r="C19" s="16"/>
      <c r="D19" s="15"/>
      <c r="E19" s="22"/>
      <c r="F19" s="15"/>
      <c r="G19" s="18"/>
      <c r="H19" s="19"/>
      <c r="I19" s="15"/>
      <c r="J19" s="18"/>
    </row>
    <row r="20" customFormat="false" ht="15" hidden="false" customHeight="false" outlineLevel="0" collapsed="false">
      <c r="A20" s="14"/>
      <c r="B20" s="15"/>
      <c r="C20" s="16"/>
      <c r="D20" s="15"/>
      <c r="E20" s="22"/>
      <c r="F20" s="15"/>
      <c r="G20" s="18"/>
      <c r="H20" s="19"/>
      <c r="I20" s="15"/>
      <c r="J20" s="18"/>
    </row>
    <row r="21" customFormat="false" ht="15" hidden="false" customHeight="false" outlineLevel="0" collapsed="false">
      <c r="A21" s="14"/>
      <c r="B21" s="15"/>
      <c r="C21" s="16"/>
      <c r="D21" s="15"/>
      <c r="E21" s="22"/>
      <c r="F21" s="15"/>
      <c r="G21" s="18"/>
      <c r="H21" s="19"/>
      <c r="I21" s="15"/>
      <c r="J21" s="18"/>
    </row>
    <row r="22" customFormat="false" ht="15" hidden="false" customHeight="false" outlineLevel="0" collapsed="false">
      <c r="A22" s="14"/>
      <c r="B22" s="15"/>
      <c r="C22" s="16"/>
      <c r="D22" s="15"/>
      <c r="E22" s="22"/>
      <c r="F22" s="15"/>
      <c r="G22" s="18"/>
      <c r="H22" s="19"/>
      <c r="I22" s="15"/>
      <c r="J22" s="18"/>
    </row>
    <row r="23" customFormat="false" ht="15" hidden="false" customHeight="false" outlineLevel="0" collapsed="false">
      <c r="A23" s="14"/>
      <c r="B23" s="15"/>
      <c r="C23" s="16"/>
      <c r="D23" s="15"/>
      <c r="E23" s="22"/>
      <c r="F23" s="15"/>
      <c r="G23" s="18"/>
      <c r="H23" s="19"/>
      <c r="I23" s="15"/>
      <c r="J23" s="18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A1:R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Q5" activeCellId="0" sqref="Q5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9.42"/>
    <col collapsed="false" customWidth="true" hidden="false" outlineLevel="0" max="3" min="3" style="0" width="9"/>
    <col collapsed="false" customWidth="true" hidden="false" outlineLevel="0" max="4" min="4" style="0" width="9.71"/>
    <col collapsed="false" customWidth="true" hidden="false" outlineLevel="0" max="5" min="5" style="0" width="9"/>
    <col collapsed="false" customWidth="true" hidden="false" outlineLevel="0" max="6" min="6" style="0" width="10.14"/>
    <col collapsed="false" customWidth="true" hidden="false" outlineLevel="0" max="7" min="7" style="0" width="15.57"/>
    <col collapsed="false" customWidth="true" hidden="false" outlineLevel="0" max="10" min="8" style="0" width="9"/>
    <col collapsed="false" customWidth="true" hidden="false" outlineLevel="0" max="12" min="12" style="0" width="9"/>
    <col collapsed="false" customWidth="true" hidden="false" outlineLevel="0" max="14" min="13" style="0" width="9.42"/>
    <col collapsed="false" customWidth="true" hidden="false" outlineLevel="0" max="18" min="15" style="0" width="9"/>
  </cols>
  <sheetData>
    <row r="1" customFormat="false" ht="41.75" hidden="false" customHeight="false" outlineLevel="0" collapsed="false">
      <c r="A1" s="4" t="s">
        <v>9</v>
      </c>
      <c r="B1" s="5" t="s">
        <v>10</v>
      </c>
      <c r="C1" s="6" t="s">
        <v>11</v>
      </c>
      <c r="D1" s="7" t="s">
        <v>12</v>
      </c>
      <c r="E1" s="8" t="s">
        <v>13</v>
      </c>
      <c r="F1" s="7" t="s">
        <v>14</v>
      </c>
      <c r="G1" s="9" t="s">
        <v>15</v>
      </c>
      <c r="H1" s="10" t="s">
        <v>16</v>
      </c>
      <c r="I1" s="11" t="s">
        <v>17</v>
      </c>
      <c r="J1" s="12" t="s">
        <v>18</v>
      </c>
      <c r="L1" s="9" t="s">
        <v>19</v>
      </c>
      <c r="M1" s="9" t="s">
        <v>20</v>
      </c>
      <c r="N1" s="13" t="s">
        <v>21</v>
      </c>
      <c r="O1" s="13" t="s">
        <v>22</v>
      </c>
      <c r="P1" s="13" t="s">
        <v>23</v>
      </c>
      <c r="Q1" s="13" t="s">
        <v>24</v>
      </c>
      <c r="R1" s="13" t="s">
        <v>25</v>
      </c>
    </row>
    <row r="2" customFormat="false" ht="15" hidden="false" customHeight="false" outlineLevel="0" collapsed="false">
      <c r="A2" s="14" t="n">
        <f aca="false">'Таблица 2'!D7</f>
        <v>0.875120985476242</v>
      </c>
      <c r="B2" s="15" t="n">
        <f aca="false">'Таблица 2'!E7</f>
        <v>0.0600581952866484</v>
      </c>
      <c r="C2" s="16" t="n">
        <f aca="false">(A2-$L$2)*(A2-$L$2)</f>
        <v>1.2887473041924</v>
      </c>
      <c r="D2" s="15" t="n">
        <f aca="false">(B2-$M$2)*(B2-$M$2)</f>
        <v>0.00544214892962916</v>
      </c>
      <c r="E2" s="17" t="n">
        <f aca="false">A2-$L$2</f>
        <v>-1.13523006663513</v>
      </c>
      <c r="F2" s="15" t="n">
        <f aca="false">B2-$M$2</f>
        <v>-0.0737709219789828</v>
      </c>
      <c r="G2" s="18" t="n">
        <f aca="false">E2*F2</f>
        <v>0.0837469686739355</v>
      </c>
      <c r="H2" s="19" t="n">
        <f aca="false">B2-($O$2+$N$2*A2)</f>
        <v>-0.000326392478833926</v>
      </c>
      <c r="I2" s="20" t="n">
        <f aca="false">H2*H2</f>
        <v>1.06532050239355E-007</v>
      </c>
      <c r="J2" s="21" t="n">
        <f aca="false">SQRT(4*$R$2+4*$Q$2*A2*A2)</f>
        <v>0.0702207463438803</v>
      </c>
      <c r="K2" s="19"/>
      <c r="L2" s="19" t="n">
        <f aca="false">SUM(A:A)/COUNT(A:A)</f>
        <v>2.01035105211137</v>
      </c>
      <c r="M2" s="19" t="n">
        <f aca="false">SUM(B:B)/COUNT(B:B)</f>
        <v>0.133829117265631</v>
      </c>
      <c r="N2" s="19" t="n">
        <f aca="false">SUM(G:G)/SUM(C:C)</f>
        <v>0.0646957226193292</v>
      </c>
      <c r="O2" s="19" t="n">
        <f aca="false">M2-N2*L2</f>
        <v>0.00376800323075738</v>
      </c>
      <c r="P2" s="19" t="n">
        <f aca="false">SUM(C:C)</f>
        <v>2.60519788625962</v>
      </c>
      <c r="Q2" s="19" t="n">
        <f aca="false">1/P2*SUM(I:I)/(COUNT(I:I)-2)</f>
        <v>0.000225832184608008</v>
      </c>
      <c r="R2" s="19" t="n">
        <f aca="false">(1/COUNT(I:I)+L2*L2/P2)*SUM(I:I)/(COUNT(I:I)-2)</f>
        <v>0.00105978772040156</v>
      </c>
    </row>
    <row r="3" customFormat="false" ht="15" hidden="false" customHeight="false" outlineLevel="0" collapsed="false">
      <c r="A3" s="14" t="n">
        <f aca="false">'Таблица 2'!D13</f>
        <v>1.61986659935735</v>
      </c>
      <c r="B3" s="15" t="n">
        <f aca="false">'Таблица 2'!E13</f>
        <v>0.109352485107074</v>
      </c>
      <c r="C3" s="16" t="n">
        <f aca="false">(A3-$L$2)*(A3-$L$2)</f>
        <v>0.152478107842605</v>
      </c>
      <c r="D3" s="15" t="n">
        <f aca="false">(B3-$M$2)*(B3-$M$2)</f>
        <v>0.000599105521825326</v>
      </c>
      <c r="E3" s="22" t="n">
        <f aca="false">A3-$L$2</f>
        <v>-0.390484452754018</v>
      </c>
      <c r="F3" s="15" t="n">
        <f aca="false">B3-$M$2</f>
        <v>-0.0244766321585574</v>
      </c>
      <c r="G3" s="18" t="n">
        <f aca="false">E3*F3</f>
        <v>0.00955774431369568</v>
      </c>
      <c r="H3" s="19" t="n">
        <f aca="false">B3-($O$2+$N$2*A3)</f>
        <v>0.000786041683977112</v>
      </c>
      <c r="I3" s="15" t="n">
        <f aca="false">H3*H3</f>
        <v>6.17861528949575E-007</v>
      </c>
      <c r="J3" s="18" t="n">
        <f aca="false">SQRT(4*$R$2+4*$Q$2*A3*A3)</f>
        <v>0.0812985633563581</v>
      </c>
      <c r="K3" s="23"/>
      <c r="L3" s="19"/>
      <c r="M3" s="19"/>
      <c r="N3" s="24" t="s">
        <v>50</v>
      </c>
      <c r="O3" s="24" t="s">
        <v>74</v>
      </c>
      <c r="P3" s="19"/>
      <c r="Q3" s="24" t="s">
        <v>26</v>
      </c>
      <c r="R3" s="24" t="s">
        <v>27</v>
      </c>
    </row>
    <row r="4" customFormat="false" ht="15" hidden="false" customHeight="false" outlineLevel="0" collapsed="false">
      <c r="A4" s="14" t="n">
        <f aca="false">'Таблица 2'!D19</f>
        <v>2.76728898383765</v>
      </c>
      <c r="B4" s="15" t="n">
        <f aca="false">'Таблица 2'!E19</f>
        <v>0.158322825618178</v>
      </c>
      <c r="C4" s="16" t="n">
        <f aca="false">(A4-$L$2)*(A4-$L$2)</f>
        <v>0.572955032486055</v>
      </c>
      <c r="D4" s="15" t="n">
        <f aca="false">(B4-$M$2)*(B4-$M$2)</f>
        <v>0.000599941748859614</v>
      </c>
      <c r="E4" s="22" t="n">
        <f aca="false">A4-$L$2</f>
        <v>0.756937931726278</v>
      </c>
      <c r="F4" s="15" t="n">
        <f aca="false">B4-$M$2</f>
        <v>0.0244937083525467</v>
      </c>
      <c r="G4" s="18" t="n">
        <f aca="false">E4*F4</f>
        <v>0.0185402169406833</v>
      </c>
      <c r="H4" s="19" t="n">
        <f aca="false">B4-($O$2+$N$2*A4)</f>
        <v>-0.0244769381184653</v>
      </c>
      <c r="I4" s="15" t="n">
        <f aca="false">H4*H4</f>
        <v>0.00059912049965518</v>
      </c>
      <c r="J4" s="18" t="n">
        <f aca="false">SQRT(4*$R$2+4*$Q$2*A4*A4)</f>
        <v>0.105625477404023</v>
      </c>
      <c r="K4" s="19"/>
      <c r="L4" s="19"/>
      <c r="M4" s="19"/>
      <c r="N4" s="19"/>
      <c r="O4" s="19"/>
      <c r="P4" s="19"/>
      <c r="Q4" s="19" t="n">
        <f aca="false">SQRT(Q2)</f>
        <v>0.015027713884953</v>
      </c>
      <c r="R4" s="19" t="n">
        <f aca="false">SQRT(R2)</f>
        <v>0.0325543809709471</v>
      </c>
    </row>
    <row r="5" customFormat="false" ht="15" hidden="false" customHeight="false" outlineLevel="0" collapsed="false">
      <c r="A5" s="14" t="n">
        <f aca="false">'Таблица 2'!D25</f>
        <v>2.77912763977424</v>
      </c>
      <c r="B5" s="15" t="n">
        <f aca="false">'Таблица 2'!E25</f>
        <v>0.207582963050625</v>
      </c>
      <c r="C5" s="16" t="n">
        <f aca="false">(A5-$L$2)*(A5-$L$2)</f>
        <v>0.591017441738565</v>
      </c>
      <c r="D5" s="15" t="n">
        <f aca="false">(B5-$M$2)*(B5-$M$2)</f>
        <v>0.0054396297680766</v>
      </c>
      <c r="E5" s="22" t="n">
        <f aca="false">A5-$L$2</f>
        <v>0.768776587662869</v>
      </c>
      <c r="F5" s="15" t="n">
        <f aca="false">B5-$M$2</f>
        <v>0.0737538457849934</v>
      </c>
      <c r="G5" s="18" t="n">
        <f aca="false">E5*F5</f>
        <v>0.0567002298896007</v>
      </c>
      <c r="H5" s="19" t="n">
        <f aca="false">B5-($O$2+$N$2*A5)</f>
        <v>0.0240172889133221</v>
      </c>
      <c r="I5" s="15" t="n">
        <f aca="false">H5*H5</f>
        <v>0.000576830166745984</v>
      </c>
      <c r="J5" s="18" t="n">
        <f aca="false">SQRT(4*$R$2+4*$Q$2*A5*A5)</f>
        <v>0.105905882533138</v>
      </c>
      <c r="K5" s="19"/>
      <c r="L5" s="19"/>
      <c r="M5" s="19"/>
      <c r="N5" s="19"/>
      <c r="O5" s="19"/>
      <c r="P5" s="19"/>
      <c r="Q5" s="24" t="s">
        <v>28</v>
      </c>
      <c r="R5" s="24" t="s">
        <v>29</v>
      </c>
    </row>
    <row r="6" customFormat="false" ht="15" hidden="false" customHeight="false" outlineLevel="0" collapsed="false">
      <c r="A6" s="14"/>
      <c r="B6" s="15"/>
      <c r="C6" s="16"/>
      <c r="D6" s="15"/>
      <c r="E6" s="22"/>
      <c r="F6" s="15"/>
      <c r="G6" s="18"/>
      <c r="H6" s="19"/>
      <c r="I6" s="15"/>
      <c r="J6" s="18"/>
      <c r="K6" s="19"/>
      <c r="L6" s="19"/>
      <c r="M6" s="19"/>
      <c r="N6" s="19"/>
      <c r="O6" s="19"/>
      <c r="P6" s="19"/>
      <c r="Q6" s="19" t="n">
        <f aca="false">Q4*2</f>
        <v>0.0300554277699059</v>
      </c>
      <c r="R6" s="19" t="n">
        <f aca="false">R4*2</f>
        <v>0.0651087619418942</v>
      </c>
    </row>
    <row r="7" customFormat="false" ht="15" hidden="false" customHeight="false" outlineLevel="0" collapsed="false">
      <c r="A7" s="14"/>
      <c r="B7" s="15"/>
      <c r="C7" s="16"/>
      <c r="D7" s="15"/>
      <c r="E7" s="22"/>
      <c r="F7" s="15"/>
      <c r="G7" s="18"/>
      <c r="H7" s="19"/>
      <c r="I7" s="15"/>
      <c r="J7" s="18"/>
      <c r="K7" s="19"/>
      <c r="L7" s="19"/>
      <c r="M7" s="19"/>
      <c r="N7" s="19"/>
      <c r="O7" s="19"/>
      <c r="P7" s="19"/>
      <c r="Q7" s="19"/>
      <c r="R7" s="19"/>
    </row>
    <row r="8" customFormat="false" ht="15" hidden="false" customHeight="false" outlineLevel="0" collapsed="false">
      <c r="A8" s="14"/>
      <c r="B8" s="15"/>
      <c r="C8" s="16"/>
      <c r="D8" s="15"/>
      <c r="E8" s="22"/>
      <c r="F8" s="15"/>
      <c r="G8" s="18"/>
      <c r="H8" s="19"/>
      <c r="I8" s="15"/>
      <c r="J8" s="18"/>
      <c r="K8" s="19"/>
      <c r="L8" s="19"/>
      <c r="M8" s="19"/>
      <c r="N8" s="19"/>
      <c r="O8" s="19"/>
      <c r="P8" s="19"/>
      <c r="Q8" s="19"/>
      <c r="R8" s="19"/>
    </row>
    <row r="9" customFormat="false" ht="15" hidden="false" customHeight="false" outlineLevel="0" collapsed="false">
      <c r="A9" s="14"/>
      <c r="B9" s="15"/>
      <c r="C9" s="16"/>
      <c r="D9" s="15"/>
      <c r="E9" s="22"/>
      <c r="F9" s="15"/>
      <c r="G9" s="18"/>
      <c r="H9" s="19"/>
      <c r="I9" s="15"/>
      <c r="J9" s="18"/>
      <c r="K9" s="19"/>
      <c r="L9" s="19"/>
      <c r="M9" s="19"/>
      <c r="N9" s="19"/>
      <c r="O9" s="19"/>
      <c r="P9" s="19"/>
      <c r="Q9" s="19"/>
      <c r="R9" s="19"/>
    </row>
    <row r="10" customFormat="false" ht="15" hidden="false" customHeight="false" outlineLevel="0" collapsed="false">
      <c r="A10" s="14"/>
      <c r="B10" s="15"/>
      <c r="C10" s="16"/>
      <c r="D10" s="15"/>
      <c r="E10" s="22"/>
      <c r="F10" s="15"/>
      <c r="G10" s="18"/>
      <c r="H10" s="19"/>
      <c r="I10" s="15"/>
      <c r="J10" s="18"/>
    </row>
    <row r="11" customFormat="false" ht="15" hidden="false" customHeight="false" outlineLevel="0" collapsed="false">
      <c r="A11" s="14"/>
      <c r="B11" s="15"/>
      <c r="C11" s="16"/>
      <c r="D11" s="15"/>
      <c r="E11" s="22"/>
      <c r="F11" s="15"/>
      <c r="G11" s="18"/>
      <c r="H11" s="19"/>
      <c r="I11" s="15"/>
      <c r="J11" s="18"/>
    </row>
    <row r="12" customFormat="false" ht="15" hidden="false" customHeight="false" outlineLevel="0" collapsed="false">
      <c r="A12" s="14"/>
      <c r="B12" s="15"/>
      <c r="C12" s="16"/>
      <c r="D12" s="15"/>
      <c r="E12" s="22"/>
      <c r="F12" s="15"/>
      <c r="G12" s="18"/>
      <c r="H12" s="19"/>
      <c r="I12" s="15"/>
      <c r="J12" s="18"/>
    </row>
    <row r="13" customFormat="false" ht="15" hidden="false" customHeight="false" outlineLevel="0" collapsed="false">
      <c r="A13" s="14"/>
      <c r="B13" s="15"/>
      <c r="C13" s="16"/>
      <c r="D13" s="15"/>
      <c r="E13" s="22"/>
      <c r="F13" s="15"/>
      <c r="G13" s="18"/>
      <c r="H13" s="19"/>
      <c r="I13" s="15"/>
      <c r="J13" s="18"/>
    </row>
    <row r="14" customFormat="false" ht="15" hidden="false" customHeight="false" outlineLevel="0" collapsed="false">
      <c r="A14" s="14"/>
      <c r="B14" s="15"/>
      <c r="C14" s="16"/>
      <c r="D14" s="15"/>
      <c r="E14" s="22"/>
      <c r="F14" s="15"/>
      <c r="G14" s="18"/>
      <c r="H14" s="19"/>
      <c r="I14" s="15"/>
      <c r="J14" s="18"/>
    </row>
    <row r="15" customFormat="false" ht="15" hidden="false" customHeight="false" outlineLevel="0" collapsed="false">
      <c r="A15" s="14"/>
      <c r="B15" s="15"/>
      <c r="C15" s="16"/>
      <c r="D15" s="15"/>
      <c r="E15" s="22"/>
      <c r="F15" s="15"/>
      <c r="G15" s="18"/>
      <c r="H15" s="19"/>
      <c r="I15" s="15"/>
      <c r="J15" s="18"/>
    </row>
    <row r="16" customFormat="false" ht="15" hidden="false" customHeight="false" outlineLevel="0" collapsed="false">
      <c r="A16" s="14"/>
      <c r="B16" s="15"/>
      <c r="C16" s="16"/>
      <c r="D16" s="15"/>
      <c r="E16" s="22"/>
      <c r="F16" s="15"/>
      <c r="G16" s="18"/>
      <c r="H16" s="19"/>
      <c r="I16" s="15"/>
      <c r="J16" s="18"/>
    </row>
    <row r="17" customFormat="false" ht="15" hidden="false" customHeight="false" outlineLevel="0" collapsed="false">
      <c r="A17" s="14"/>
      <c r="B17" s="15"/>
      <c r="C17" s="16"/>
      <c r="D17" s="15"/>
      <c r="E17" s="22"/>
      <c r="F17" s="15"/>
      <c r="G17" s="18"/>
      <c r="H17" s="19"/>
      <c r="I17" s="15"/>
      <c r="J17" s="18"/>
    </row>
    <row r="18" customFormat="false" ht="15" hidden="false" customHeight="false" outlineLevel="0" collapsed="false">
      <c r="A18" s="14"/>
      <c r="B18" s="15"/>
      <c r="C18" s="16"/>
      <c r="D18" s="15"/>
      <c r="E18" s="22"/>
      <c r="F18" s="15"/>
      <c r="G18" s="18"/>
      <c r="H18" s="19"/>
      <c r="I18" s="15"/>
      <c r="J18" s="18"/>
    </row>
    <row r="19" customFormat="false" ht="15" hidden="false" customHeight="false" outlineLevel="0" collapsed="false">
      <c r="A19" s="14"/>
      <c r="B19" s="15"/>
      <c r="C19" s="16"/>
      <c r="D19" s="15"/>
      <c r="E19" s="22"/>
      <c r="F19" s="15"/>
      <c r="G19" s="18"/>
      <c r="H19" s="19"/>
      <c r="I19" s="15"/>
      <c r="J19" s="18"/>
    </row>
    <row r="20" customFormat="false" ht="15" hidden="false" customHeight="false" outlineLevel="0" collapsed="false">
      <c r="A20" s="14"/>
      <c r="B20" s="15"/>
      <c r="C20" s="16"/>
      <c r="D20" s="15"/>
      <c r="E20" s="22"/>
      <c r="F20" s="15"/>
      <c r="G20" s="18"/>
      <c r="H20" s="19"/>
      <c r="I20" s="15"/>
      <c r="J20" s="18"/>
    </row>
    <row r="21" customFormat="false" ht="15" hidden="false" customHeight="false" outlineLevel="0" collapsed="false">
      <c r="A21" s="14"/>
      <c r="B21" s="15"/>
      <c r="C21" s="16"/>
      <c r="D21" s="15"/>
      <c r="E21" s="22"/>
      <c r="F21" s="15"/>
      <c r="G21" s="18"/>
      <c r="H21" s="19"/>
      <c r="I21" s="15"/>
      <c r="J21" s="18"/>
    </row>
    <row r="22" customFormat="false" ht="15" hidden="false" customHeight="false" outlineLevel="0" collapsed="false">
      <c r="A22" s="14"/>
      <c r="B22" s="15"/>
      <c r="C22" s="16"/>
      <c r="D22" s="15"/>
      <c r="E22" s="22"/>
      <c r="F22" s="15"/>
      <c r="G22" s="18"/>
      <c r="H22" s="19"/>
      <c r="I22" s="15"/>
      <c r="J22" s="18"/>
    </row>
    <row r="23" customFormat="false" ht="15" hidden="false" customHeight="false" outlineLevel="0" collapsed="false">
      <c r="A23" s="14"/>
      <c r="B23" s="15"/>
      <c r="C23" s="16"/>
      <c r="D23" s="15"/>
      <c r="E23" s="22"/>
      <c r="F23" s="15"/>
      <c r="G23" s="18"/>
      <c r="H23" s="19"/>
      <c r="I23" s="15"/>
      <c r="J23" s="18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A1:R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Q5" activeCellId="0" sqref="Q5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9.42"/>
    <col collapsed="false" customWidth="true" hidden="false" outlineLevel="0" max="3" min="3" style="0" width="9"/>
    <col collapsed="false" customWidth="true" hidden="false" outlineLevel="0" max="4" min="4" style="0" width="9.71"/>
    <col collapsed="false" customWidth="true" hidden="false" outlineLevel="0" max="5" min="5" style="0" width="9"/>
    <col collapsed="false" customWidth="true" hidden="false" outlineLevel="0" max="6" min="6" style="0" width="10.14"/>
    <col collapsed="false" customWidth="true" hidden="false" outlineLevel="0" max="7" min="7" style="0" width="15.57"/>
    <col collapsed="false" customWidth="true" hidden="false" outlineLevel="0" max="10" min="8" style="0" width="9"/>
    <col collapsed="false" customWidth="true" hidden="false" outlineLevel="0" max="12" min="12" style="0" width="9"/>
    <col collapsed="false" customWidth="true" hidden="false" outlineLevel="0" max="14" min="13" style="0" width="9.42"/>
    <col collapsed="false" customWidth="true" hidden="false" outlineLevel="0" max="18" min="15" style="0" width="9"/>
  </cols>
  <sheetData>
    <row r="1" customFormat="false" ht="41.75" hidden="false" customHeight="false" outlineLevel="0" collapsed="false">
      <c r="A1" s="4" t="s">
        <v>9</v>
      </c>
      <c r="B1" s="5" t="s">
        <v>10</v>
      </c>
      <c r="C1" s="6" t="s">
        <v>11</v>
      </c>
      <c r="D1" s="7" t="s">
        <v>12</v>
      </c>
      <c r="E1" s="8" t="s">
        <v>13</v>
      </c>
      <c r="F1" s="7" t="s">
        <v>14</v>
      </c>
      <c r="G1" s="9" t="s">
        <v>15</v>
      </c>
      <c r="H1" s="10" t="s">
        <v>16</v>
      </c>
      <c r="I1" s="11" t="s">
        <v>17</v>
      </c>
      <c r="J1" s="12" t="s">
        <v>18</v>
      </c>
      <c r="L1" s="9" t="s">
        <v>19</v>
      </c>
      <c r="M1" s="9" t="s">
        <v>20</v>
      </c>
      <c r="N1" s="13" t="s">
        <v>21</v>
      </c>
      <c r="O1" s="13" t="s">
        <v>22</v>
      </c>
      <c r="P1" s="13" t="s">
        <v>23</v>
      </c>
      <c r="Q1" s="13" t="s">
        <v>24</v>
      </c>
      <c r="R1" s="13" t="s">
        <v>25</v>
      </c>
    </row>
    <row r="2" customFormat="false" ht="15" hidden="false" customHeight="false" outlineLevel="0" collapsed="false">
      <c r="A2" s="14" t="n">
        <f aca="false">'Таблица 2'!D8</f>
        <v>0.753148848088425</v>
      </c>
      <c r="B2" s="15" t="n">
        <f aca="false">'Таблица 2'!E8</f>
        <v>0.0600754229972495</v>
      </c>
      <c r="C2" s="16" t="n">
        <f aca="false">(A2-$L$2)*(A2-$L$2)</f>
        <v>0.702720361866219</v>
      </c>
      <c r="D2" s="15" t="n">
        <f aca="false">(B2-$M$2)*(B2-$M$2)</f>
        <v>0.00546249482635818</v>
      </c>
      <c r="E2" s="17" t="n">
        <f aca="false">A2-$L$2</f>
        <v>-0.838284177272969</v>
      </c>
      <c r="F2" s="15" t="n">
        <f aca="false">B2-$M$2</f>
        <v>-0.0739086924952551</v>
      </c>
      <c r="G2" s="18" t="n">
        <f aca="false">E2*F2</f>
        <v>0.0619564874817058</v>
      </c>
      <c r="H2" s="19" t="n">
        <f aca="false">B2-($O$2+$N$2*A2)</f>
        <v>0.00362103187228382</v>
      </c>
      <c r="I2" s="20" t="n">
        <f aca="false">H2*H2</f>
        <v>1.31118718200953E-005</v>
      </c>
      <c r="J2" s="21" t="n">
        <f aca="false">SQRT(4*$R$2+4*$Q$2*A2*A2)</f>
        <v>0.0165197143625466</v>
      </c>
      <c r="K2" s="19"/>
      <c r="L2" s="19" t="n">
        <f aca="false">SUM(A:A)/COUNT(A:A)</f>
        <v>1.59143302536139</v>
      </c>
      <c r="M2" s="19" t="n">
        <f aca="false">SUM(B:B)/COUNT(B:B)</f>
        <v>0.133984115492505</v>
      </c>
      <c r="N2" s="19" t="n">
        <f aca="false">SUM(G:G)/SUM(C:C)</f>
        <v>0.0924862075051347</v>
      </c>
      <c r="O2" s="19" t="n">
        <f aca="false">M2-N2*L2</f>
        <v>-0.0132014895215936</v>
      </c>
      <c r="P2" s="19" t="n">
        <f aca="false">SUM(C:C)</f>
        <v>1.41070404405186</v>
      </c>
      <c r="Q2" s="19" t="n">
        <f aca="false">1/P2*SUM(I:I)/(COUNT(I:I)-2)</f>
        <v>1.97607216623231E-005</v>
      </c>
      <c r="R2" s="19" t="n">
        <f aca="false">(1/COUNT(I:I)+L2*L2/P2)*SUM(I:I)/(COUNT(I:I)-2)</f>
        <v>5.70163035216445E-005</v>
      </c>
    </row>
    <row r="3" customFormat="false" ht="15" hidden="false" customHeight="false" outlineLevel="0" collapsed="false">
      <c r="A3" s="14" t="n">
        <f aca="false">'Таблица 2'!D14</f>
        <v>1.37643880869221</v>
      </c>
      <c r="B3" s="15" t="n">
        <f aca="false">'Таблица 2'!E14</f>
        <v>0.109415197704788</v>
      </c>
      <c r="C3" s="16" t="n">
        <f aca="false">(A3-$L$2)*(A3-$L$2)</f>
        <v>0.0462225132011956</v>
      </c>
      <c r="D3" s="15" t="n">
        <f aca="false">(B3-$M$2)*(B3-$M$2)</f>
        <v>0.000603631721259562</v>
      </c>
      <c r="E3" s="22" t="n">
        <f aca="false">A3-$L$2</f>
        <v>-0.214994216669183</v>
      </c>
      <c r="F3" s="15" t="n">
        <f aca="false">B3-$M$2</f>
        <v>-0.0245689177877163</v>
      </c>
      <c r="G3" s="18" t="n">
        <f aca="false">E3*F3</f>
        <v>0.00528217523417962</v>
      </c>
      <c r="H3" s="19" t="n">
        <f aca="false">B3-($O$2+$N$2*A3)</f>
        <v>-0.00468491805244635</v>
      </c>
      <c r="I3" s="15" t="n">
        <f aca="false">H3*H3</f>
        <v>2.19484571581377E-005</v>
      </c>
      <c r="J3" s="18" t="n">
        <f aca="false">SQRT(4*$R$2+4*$Q$2*A3*A3)</f>
        <v>0.01943755607501</v>
      </c>
      <c r="K3" s="23"/>
      <c r="L3" s="19"/>
      <c r="M3" s="19"/>
      <c r="N3" s="24" t="s">
        <v>50</v>
      </c>
      <c r="O3" s="24" t="s">
        <v>74</v>
      </c>
      <c r="P3" s="19"/>
      <c r="Q3" s="24" t="s">
        <v>26</v>
      </c>
      <c r="R3" s="24" t="s">
        <v>27</v>
      </c>
    </row>
    <row r="4" customFormat="false" ht="15" hidden="false" customHeight="false" outlineLevel="0" collapsed="false">
      <c r="A4" s="14" t="n">
        <f aca="false">'Таблица 2'!D20</f>
        <v>1.8867029488628</v>
      </c>
      <c r="B4" s="15" t="n">
        <f aca="false">'Таблица 2'!E20</f>
        <v>0.158652167437017</v>
      </c>
      <c r="C4" s="16" t="n">
        <f aca="false">(A4-$L$2)*(A4-$L$2)</f>
        <v>0.0871843277245283</v>
      </c>
      <c r="D4" s="15" t="n">
        <f aca="false">(B4-$M$2)*(B4-$M$2)</f>
        <v>0.000608512786737138</v>
      </c>
      <c r="E4" s="22" t="n">
        <f aca="false">A4-$L$2</f>
        <v>0.29526992350141</v>
      </c>
      <c r="F4" s="15" t="n">
        <f aca="false">B4-$M$2</f>
        <v>0.0246680519445119</v>
      </c>
      <c r="G4" s="18" t="n">
        <f aca="false">E4*F4</f>
        <v>0.00728373381058483</v>
      </c>
      <c r="H4" s="19" t="n">
        <f aca="false">B4-($O$2+$N$2*A4)</f>
        <v>-0.00264034347046471</v>
      </c>
      <c r="I4" s="15" t="n">
        <f aca="false">H4*H4</f>
        <v>6.97141364202564E-006</v>
      </c>
      <c r="J4" s="18" t="n">
        <f aca="false">SQRT(4*$R$2+4*$Q$2*A4*A4)</f>
        <v>0.0225705575656708</v>
      </c>
      <c r="K4" s="19"/>
      <c r="L4" s="19"/>
      <c r="M4" s="19"/>
      <c r="N4" s="19"/>
      <c r="O4" s="19"/>
      <c r="P4" s="19"/>
      <c r="Q4" s="19" t="n">
        <f aca="false">SQRT(Q2)</f>
        <v>0.0044453033262448</v>
      </c>
      <c r="R4" s="19" t="n">
        <f aca="false">SQRT(R2)</f>
        <v>0.00755091408517171</v>
      </c>
    </row>
    <row r="5" customFormat="false" ht="15" hidden="false" customHeight="false" outlineLevel="0" collapsed="false">
      <c r="A5" s="14" t="n">
        <f aca="false">'Таблица 2'!D26</f>
        <v>2.34944149580214</v>
      </c>
      <c r="B5" s="15" t="n">
        <f aca="false">'Таблица 2'!E26</f>
        <v>0.207793673830964</v>
      </c>
      <c r="C5" s="16" t="n">
        <f aca="false">(A5-$L$2)*(A5-$L$2)</f>
        <v>0.574576841259913</v>
      </c>
      <c r="D5" s="15" t="n">
        <f aca="false">(B5-$M$2)*(B5-$M$2)</f>
        <v>0.00544785090211845</v>
      </c>
      <c r="E5" s="22" t="n">
        <f aca="false">A5-$L$2</f>
        <v>0.758008470440742</v>
      </c>
      <c r="F5" s="15" t="n">
        <f aca="false">B5-$M$2</f>
        <v>0.0738095583384595</v>
      </c>
      <c r="G5" s="18" t="n">
        <f aca="false">E5*F5</f>
        <v>0.0559482704200424</v>
      </c>
      <c r="H5" s="19" t="n">
        <f aca="false">B5-($O$2+$N$2*A5)</f>
        <v>0.00370422965062725</v>
      </c>
      <c r="I5" s="15" t="n">
        <f aca="false">H5*H5</f>
        <v>1.37213173045861E-005</v>
      </c>
      <c r="J5" s="18" t="n">
        <f aca="false">SQRT(4*$R$2+4*$Q$2*A5*A5)</f>
        <v>0.0257754164869955</v>
      </c>
      <c r="K5" s="19"/>
      <c r="L5" s="19"/>
      <c r="M5" s="19"/>
      <c r="N5" s="19"/>
      <c r="O5" s="19"/>
      <c r="P5" s="19"/>
      <c r="Q5" s="24" t="s">
        <v>28</v>
      </c>
      <c r="R5" s="24" t="s">
        <v>29</v>
      </c>
    </row>
    <row r="6" customFormat="false" ht="15" hidden="false" customHeight="false" outlineLevel="0" collapsed="false">
      <c r="A6" s="14"/>
      <c r="B6" s="15"/>
      <c r="C6" s="16"/>
      <c r="D6" s="15"/>
      <c r="E6" s="22"/>
      <c r="F6" s="15"/>
      <c r="G6" s="18"/>
      <c r="H6" s="19"/>
      <c r="I6" s="15"/>
      <c r="J6" s="18"/>
      <c r="K6" s="19"/>
      <c r="L6" s="19"/>
      <c r="M6" s="19"/>
      <c r="N6" s="19"/>
      <c r="O6" s="19"/>
      <c r="P6" s="19"/>
      <c r="Q6" s="19" t="n">
        <f aca="false">Q4*2</f>
        <v>0.00889060665248961</v>
      </c>
      <c r="R6" s="19" t="n">
        <f aca="false">R4*2</f>
        <v>0.0151018281703434</v>
      </c>
    </row>
    <row r="7" customFormat="false" ht="15" hidden="false" customHeight="false" outlineLevel="0" collapsed="false">
      <c r="A7" s="14"/>
      <c r="B7" s="15"/>
      <c r="C7" s="16"/>
      <c r="D7" s="15"/>
      <c r="E7" s="22"/>
      <c r="F7" s="15"/>
      <c r="G7" s="18"/>
      <c r="H7" s="19"/>
      <c r="I7" s="15"/>
      <c r="J7" s="18"/>
      <c r="K7" s="19"/>
      <c r="L7" s="19"/>
      <c r="M7" s="19"/>
      <c r="N7" s="19"/>
      <c r="O7" s="19"/>
      <c r="P7" s="19"/>
      <c r="Q7" s="19"/>
      <c r="R7" s="19"/>
    </row>
    <row r="8" customFormat="false" ht="15" hidden="false" customHeight="false" outlineLevel="0" collapsed="false">
      <c r="A8" s="14"/>
      <c r="B8" s="15"/>
      <c r="C8" s="16"/>
      <c r="D8" s="15"/>
      <c r="E8" s="22"/>
      <c r="F8" s="15"/>
      <c r="G8" s="18"/>
      <c r="H8" s="19"/>
      <c r="I8" s="15"/>
      <c r="J8" s="18"/>
      <c r="K8" s="19"/>
      <c r="L8" s="19"/>
      <c r="M8" s="19"/>
      <c r="N8" s="19"/>
      <c r="O8" s="19"/>
      <c r="P8" s="19"/>
      <c r="Q8" s="19"/>
      <c r="R8" s="19"/>
    </row>
    <row r="9" customFormat="false" ht="15" hidden="false" customHeight="false" outlineLevel="0" collapsed="false">
      <c r="A9" s="14"/>
      <c r="B9" s="15"/>
      <c r="C9" s="16"/>
      <c r="D9" s="15"/>
      <c r="E9" s="22"/>
      <c r="F9" s="15"/>
      <c r="G9" s="18"/>
      <c r="H9" s="19"/>
      <c r="I9" s="15"/>
      <c r="J9" s="18"/>
      <c r="K9" s="19"/>
      <c r="L9" s="19"/>
      <c r="M9" s="19"/>
      <c r="N9" s="19"/>
      <c r="O9" s="19"/>
      <c r="P9" s="19"/>
      <c r="Q9" s="19"/>
      <c r="R9" s="19"/>
    </row>
    <row r="10" customFormat="false" ht="15" hidden="false" customHeight="false" outlineLevel="0" collapsed="false">
      <c r="A10" s="14"/>
      <c r="B10" s="15"/>
      <c r="C10" s="16"/>
      <c r="D10" s="15"/>
      <c r="E10" s="22"/>
      <c r="F10" s="15"/>
      <c r="G10" s="18"/>
      <c r="H10" s="19"/>
      <c r="I10" s="15"/>
      <c r="J10" s="18"/>
    </row>
    <row r="11" customFormat="false" ht="15" hidden="false" customHeight="false" outlineLevel="0" collapsed="false">
      <c r="A11" s="14"/>
      <c r="B11" s="15"/>
      <c r="C11" s="16"/>
      <c r="D11" s="15"/>
      <c r="E11" s="22"/>
      <c r="F11" s="15"/>
      <c r="G11" s="18"/>
      <c r="H11" s="19"/>
      <c r="I11" s="15"/>
      <c r="J11" s="18"/>
    </row>
    <row r="12" customFormat="false" ht="15" hidden="false" customHeight="false" outlineLevel="0" collapsed="false">
      <c r="A12" s="14"/>
      <c r="B12" s="15"/>
      <c r="C12" s="16"/>
      <c r="D12" s="15"/>
      <c r="E12" s="22"/>
      <c r="F12" s="15"/>
      <c r="G12" s="18"/>
      <c r="H12" s="19"/>
      <c r="I12" s="15"/>
      <c r="J12" s="18"/>
    </row>
    <row r="13" customFormat="false" ht="15" hidden="false" customHeight="false" outlineLevel="0" collapsed="false">
      <c r="A13" s="14"/>
      <c r="B13" s="15"/>
      <c r="C13" s="16"/>
      <c r="D13" s="15"/>
      <c r="E13" s="22"/>
      <c r="F13" s="15"/>
      <c r="G13" s="18"/>
      <c r="H13" s="19"/>
      <c r="I13" s="15"/>
      <c r="J13" s="18"/>
    </row>
    <row r="14" customFormat="false" ht="15" hidden="false" customHeight="false" outlineLevel="0" collapsed="false">
      <c r="A14" s="14"/>
      <c r="B14" s="15"/>
      <c r="C14" s="16"/>
      <c r="D14" s="15"/>
      <c r="E14" s="22"/>
      <c r="F14" s="15"/>
      <c r="G14" s="18"/>
      <c r="H14" s="19"/>
      <c r="I14" s="15"/>
      <c r="J14" s="18"/>
    </row>
    <row r="15" customFormat="false" ht="15" hidden="false" customHeight="false" outlineLevel="0" collapsed="false">
      <c r="A15" s="14"/>
      <c r="B15" s="15"/>
      <c r="C15" s="16"/>
      <c r="D15" s="15"/>
      <c r="E15" s="22"/>
      <c r="F15" s="15"/>
      <c r="G15" s="18"/>
      <c r="H15" s="19"/>
      <c r="I15" s="15"/>
      <c r="J15" s="18"/>
    </row>
    <row r="16" customFormat="false" ht="15" hidden="false" customHeight="false" outlineLevel="0" collapsed="false">
      <c r="A16" s="14"/>
      <c r="B16" s="15"/>
      <c r="C16" s="16"/>
      <c r="D16" s="15"/>
      <c r="E16" s="22"/>
      <c r="F16" s="15"/>
      <c r="G16" s="18"/>
      <c r="H16" s="19"/>
      <c r="I16" s="15"/>
      <c r="J16" s="18"/>
    </row>
    <row r="17" customFormat="false" ht="15" hidden="false" customHeight="false" outlineLevel="0" collapsed="false">
      <c r="A17" s="14"/>
      <c r="B17" s="15"/>
      <c r="C17" s="16"/>
      <c r="D17" s="15"/>
      <c r="E17" s="22"/>
      <c r="F17" s="15"/>
      <c r="G17" s="18"/>
      <c r="H17" s="19"/>
      <c r="I17" s="15"/>
      <c r="J17" s="18"/>
    </row>
    <row r="18" customFormat="false" ht="15" hidden="false" customHeight="false" outlineLevel="0" collapsed="false">
      <c r="A18" s="14"/>
      <c r="B18" s="15"/>
      <c r="C18" s="16"/>
      <c r="D18" s="15"/>
      <c r="E18" s="22"/>
      <c r="F18" s="15"/>
      <c r="G18" s="18"/>
      <c r="H18" s="19"/>
      <c r="I18" s="15"/>
      <c r="J18" s="18"/>
    </row>
    <row r="19" customFormat="false" ht="15" hidden="false" customHeight="false" outlineLevel="0" collapsed="false">
      <c r="A19" s="14"/>
      <c r="B19" s="15"/>
      <c r="C19" s="16"/>
      <c r="D19" s="15"/>
      <c r="E19" s="22"/>
      <c r="F19" s="15"/>
      <c r="G19" s="18"/>
      <c r="H19" s="19"/>
      <c r="I19" s="15"/>
      <c r="J19" s="18"/>
    </row>
    <row r="20" customFormat="false" ht="15" hidden="false" customHeight="false" outlineLevel="0" collapsed="false">
      <c r="A20" s="14"/>
      <c r="B20" s="15"/>
      <c r="C20" s="16"/>
      <c r="D20" s="15"/>
      <c r="E20" s="22"/>
      <c r="F20" s="15"/>
      <c r="G20" s="18"/>
      <c r="H20" s="19"/>
      <c r="I20" s="15"/>
      <c r="J20" s="18"/>
    </row>
    <row r="21" customFormat="false" ht="15" hidden="false" customHeight="false" outlineLevel="0" collapsed="false">
      <c r="A21" s="14"/>
      <c r="B21" s="15"/>
      <c r="C21" s="16"/>
      <c r="D21" s="15"/>
      <c r="E21" s="22"/>
      <c r="F21" s="15"/>
      <c r="G21" s="18"/>
      <c r="H21" s="19"/>
      <c r="I21" s="15"/>
      <c r="J21" s="18"/>
    </row>
    <row r="22" customFormat="false" ht="15" hidden="false" customHeight="false" outlineLevel="0" collapsed="false">
      <c r="A22" s="14"/>
      <c r="B22" s="15"/>
      <c r="C22" s="16"/>
      <c r="D22" s="15"/>
      <c r="E22" s="22"/>
      <c r="F22" s="15"/>
      <c r="G22" s="18"/>
      <c r="H22" s="19"/>
      <c r="I22" s="15"/>
      <c r="J22" s="18"/>
    </row>
    <row r="23" customFormat="false" ht="15" hidden="false" customHeight="false" outlineLevel="0" collapsed="false">
      <c r="A23" s="14"/>
      <c r="B23" s="15"/>
      <c r="C23" s="16"/>
      <c r="D23" s="15"/>
      <c r="E23" s="22"/>
      <c r="F23" s="15"/>
      <c r="G23" s="18"/>
      <c r="H23" s="19"/>
      <c r="I23" s="15"/>
      <c r="J23" s="18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A1:R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9.42"/>
    <col collapsed="false" customWidth="true" hidden="false" outlineLevel="0" max="3" min="3" style="0" width="9"/>
    <col collapsed="false" customWidth="true" hidden="false" outlineLevel="0" max="4" min="4" style="0" width="9.71"/>
    <col collapsed="false" customWidth="true" hidden="false" outlineLevel="0" max="5" min="5" style="0" width="9"/>
    <col collapsed="false" customWidth="true" hidden="false" outlineLevel="0" max="6" min="6" style="0" width="10.14"/>
    <col collapsed="false" customWidth="true" hidden="false" outlineLevel="0" max="7" min="7" style="0" width="14"/>
    <col collapsed="false" customWidth="true" hidden="false" outlineLevel="0" max="10" min="8" style="0" width="9"/>
    <col collapsed="false" customWidth="true" hidden="false" outlineLevel="0" max="12" min="12" style="0" width="9"/>
    <col collapsed="false" customWidth="true" hidden="false" outlineLevel="0" max="14" min="13" style="0" width="9.42"/>
    <col collapsed="false" customWidth="true" hidden="false" outlineLevel="0" max="18" min="15" style="0" width="9"/>
  </cols>
  <sheetData>
    <row r="1" customFormat="false" ht="41.75" hidden="false" customHeight="false" outlineLevel="0" collapsed="false">
      <c r="A1" s="4" t="s">
        <v>9</v>
      </c>
      <c r="B1" s="5" t="s">
        <v>10</v>
      </c>
      <c r="C1" s="6" t="s">
        <v>11</v>
      </c>
      <c r="D1" s="7" t="s">
        <v>12</v>
      </c>
      <c r="E1" s="8" t="s">
        <v>13</v>
      </c>
      <c r="F1" s="7" t="s">
        <v>14</v>
      </c>
      <c r="G1" s="9" t="s">
        <v>15</v>
      </c>
      <c r="H1" s="10" t="s">
        <v>16</v>
      </c>
      <c r="I1" s="11" t="s">
        <v>17</v>
      </c>
      <c r="J1" s="12" t="s">
        <v>18</v>
      </c>
      <c r="L1" s="9" t="s">
        <v>19</v>
      </c>
      <c r="M1" s="9" t="s">
        <v>20</v>
      </c>
      <c r="N1" s="13" t="s">
        <v>21</v>
      </c>
      <c r="O1" s="13" t="s">
        <v>22</v>
      </c>
      <c r="P1" s="13" t="s">
        <v>23</v>
      </c>
      <c r="Q1" s="13" t="s">
        <v>24</v>
      </c>
      <c r="R1" s="13" t="s">
        <v>25</v>
      </c>
    </row>
    <row r="2" customFormat="false" ht="15" hidden="false" customHeight="false" outlineLevel="0" collapsed="false">
      <c r="A2" s="14" t="n">
        <f aca="false">'Таблица 3'!B3</f>
        <v>0.005929</v>
      </c>
      <c r="B2" s="15" t="n">
        <f aca="false">'Таблица 3'!B4</f>
        <v>0.0263721678221842</v>
      </c>
      <c r="C2" s="16" t="n">
        <f aca="false">(A2-$L$2)*(A2-$L$2)</f>
        <v>0.000235750434027778</v>
      </c>
      <c r="D2" s="15" t="n">
        <f aca="false">(B2-$M$2)*(B2-$M$2)</f>
        <v>0.000612423453041106</v>
      </c>
      <c r="E2" s="17" t="n">
        <f aca="false">A2-$L$2</f>
        <v>-0.0153541666666667</v>
      </c>
      <c r="F2" s="15" t="n">
        <f aca="false">B2-$M$2</f>
        <v>-0.0247471908111023</v>
      </c>
      <c r="G2" s="18" t="n">
        <f aca="false">E2*F2</f>
        <v>0.000379972492245467</v>
      </c>
      <c r="H2" s="19" t="n">
        <f aca="false">B2-($O$2+$N$2*A2)</f>
        <v>0.00276922494236009</v>
      </c>
      <c r="I2" s="20" t="n">
        <f aca="false">H2*H2</f>
        <v>7.66860678138926E-006</v>
      </c>
      <c r="J2" s="21" t="n">
        <f aca="false">SQRT(4*$R$2+4*$Q$2*A2*A2)</f>
        <v>0.00939197383918705</v>
      </c>
      <c r="K2" s="19"/>
      <c r="L2" s="19" t="n">
        <f aca="false">SUM(A:A)/COUNT(A:A)</f>
        <v>0.0212831666666667</v>
      </c>
      <c r="M2" s="19" t="n">
        <f aca="false">SUM(B:B)/COUNT(B:B)</f>
        <v>0.0511193586332865</v>
      </c>
      <c r="N2" s="19" t="n">
        <f aca="false">SUM(G:G)/SUM(C:C)</f>
        <v>1.79211391610067</v>
      </c>
      <c r="O2" s="19" t="n">
        <f aca="false">M2-N2*L2</f>
        <v>0.0129774994712632</v>
      </c>
      <c r="P2" s="19" t="n">
        <f aca="false">SUM(C:C)</f>
        <v>0.000865969270833333</v>
      </c>
      <c r="Q2" s="19" t="n">
        <f aca="false">1/P2*SUM(I:I)/(COUNT(I:I)-2)</f>
        <v>0.0348677974063292</v>
      </c>
      <c r="R2" s="19" t="n">
        <f aca="false">(1/COUNT(I:I)+L2*L2/P2)*SUM(I:I)/(COUNT(I:I)-2)</f>
        <v>2.08265840371891E-005</v>
      </c>
    </row>
    <row r="3" customFormat="false" ht="15" hidden="false" customHeight="false" outlineLevel="0" collapsed="false">
      <c r="A3" s="14" t="n">
        <f aca="false">'Таблица 3'!C3</f>
        <v>0.010404</v>
      </c>
      <c r="B3" s="15" t="n">
        <f aca="false">'Таблица 3'!C4</f>
        <v>0.03419706696074</v>
      </c>
      <c r="C3" s="16" t="n">
        <f aca="false">(A3-$L$2)*(A3-$L$2)</f>
        <v>0.000118356267361111</v>
      </c>
      <c r="D3" s="15" t="n">
        <f aca="false">(B3-$M$2)*(B3-$M$2)</f>
        <v>0.000286363955450735</v>
      </c>
      <c r="E3" s="22" t="n">
        <f aca="false">A3-$L$2</f>
        <v>-0.0108791666666667</v>
      </c>
      <c r="F3" s="15" t="n">
        <f aca="false">B3-$M$2</f>
        <v>-0.0169222916725464</v>
      </c>
      <c r="G3" s="18" t="n">
        <f aca="false">E3*F3</f>
        <v>0.000184100431487578</v>
      </c>
      <c r="H3" s="19" t="n">
        <f aca="false">B3-($O$2+$N$2*A3)</f>
        <v>0.00257441430636544</v>
      </c>
      <c r="I3" s="15" t="n">
        <f aca="false">H3*H3</f>
        <v>6.62760902081907E-006</v>
      </c>
      <c r="J3" s="18" t="n">
        <f aca="false">SQRT(4*$R$2+4*$Q$2*A3*A3)</f>
        <v>0.00991983599930697</v>
      </c>
      <c r="K3" s="23"/>
      <c r="L3" s="19"/>
      <c r="M3" s="19"/>
      <c r="N3" s="24" t="s">
        <v>75</v>
      </c>
      <c r="O3" s="24" t="s">
        <v>76</v>
      </c>
      <c r="P3" s="19"/>
      <c r="Q3" s="24" t="s">
        <v>26</v>
      </c>
      <c r="R3" s="24" t="s">
        <v>27</v>
      </c>
    </row>
    <row r="4" customFormat="false" ht="15" hidden="false" customHeight="false" outlineLevel="0" collapsed="false">
      <c r="A4" s="14" t="n">
        <f aca="false">'Таблица 3'!D3</f>
        <v>0.016129</v>
      </c>
      <c r="B4" s="15" t="n">
        <f aca="false">'Таблица 3'!D4</f>
        <v>0.0413543900401637</v>
      </c>
      <c r="C4" s="16" t="n">
        <f aca="false">(A4-$L$2)*(A4-$L$2)</f>
        <v>2.65654340277778E-005</v>
      </c>
      <c r="D4" s="15" t="n">
        <f aca="false">(B4-$M$2)*(B4-$M$2)</f>
        <v>9.53546116246743E-005</v>
      </c>
      <c r="E4" s="22" t="n">
        <f aca="false">A4-$L$2</f>
        <v>-0.00515416666666667</v>
      </c>
      <c r="F4" s="15" t="n">
        <f aca="false">B4-$M$2</f>
        <v>-0.00976496859312278</v>
      </c>
      <c r="G4" s="18" t="n">
        <f aca="false">E4*F4</f>
        <v>5.03302756237203E-005</v>
      </c>
      <c r="H4" s="19" t="n">
        <f aca="false">B4-($O$2+$N$2*A4)</f>
        <v>-0.000528114783887236</v>
      </c>
      <c r="I4" s="15" t="n">
        <f aca="false">H4*H4</f>
        <v>2.78905224960262E-007</v>
      </c>
      <c r="J4" s="18" t="n">
        <f aca="false">SQRT(4*$R$2+4*$Q$2*A4*A4)</f>
        <v>0.0109356764172902</v>
      </c>
      <c r="K4" s="19"/>
      <c r="L4" s="19"/>
      <c r="M4" s="19"/>
      <c r="N4" s="19"/>
      <c r="O4" s="19"/>
      <c r="P4" s="19"/>
      <c r="Q4" s="19" t="n">
        <f aca="false">SQRT(Q2)</f>
        <v>0.186729208765874</v>
      </c>
      <c r="R4" s="19" t="n">
        <f aca="false">SQRT(R2)</f>
        <v>0.00456361523763662</v>
      </c>
    </row>
    <row r="5" customFormat="false" ht="15" hidden="false" customHeight="false" outlineLevel="0" collapsed="false">
      <c r="A5" s="14" t="n">
        <f aca="false">'Таблица 3'!E3</f>
        <v>0.023104</v>
      </c>
      <c r="B5" s="15" t="n">
        <f aca="false">'Таблица 3'!E4</f>
        <v>0.0476105968521671</v>
      </c>
      <c r="C5" s="16" t="n">
        <f aca="false">(A5-$L$2)*(A5-$L$2)</f>
        <v>3.31543402777777E-006</v>
      </c>
      <c r="D5" s="15" t="n">
        <f aca="false">(B5-$M$2)*(B5-$M$2)</f>
        <v>1.23114092366438E-005</v>
      </c>
      <c r="E5" s="22" t="n">
        <f aca="false">A5-$L$2</f>
        <v>0.00182083333333333</v>
      </c>
      <c r="F5" s="15" t="n">
        <f aca="false">B5-$M$2</f>
        <v>-0.00350876178111935</v>
      </c>
      <c r="G5" s="18" t="n">
        <f aca="false">E5*F5</f>
        <v>-6.38887040978814E-006</v>
      </c>
      <c r="H5" s="19" t="n">
        <f aca="false">B5-($O$2+$N$2*A5)</f>
        <v>-0.00677190253668598</v>
      </c>
      <c r="I5" s="15" t="n">
        <f aca="false">H5*H5</f>
        <v>4.58586639663741E-005</v>
      </c>
      <c r="J5" s="18" t="n">
        <f aca="false">SQRT(4*$R$2+4*$Q$2*A5*A5)</f>
        <v>0.0125600690345278</v>
      </c>
      <c r="K5" s="19"/>
      <c r="L5" s="19"/>
      <c r="M5" s="19"/>
      <c r="N5" s="19"/>
      <c r="O5" s="19"/>
      <c r="P5" s="19"/>
      <c r="Q5" s="24" t="s">
        <v>28</v>
      </c>
      <c r="R5" s="24" t="s">
        <v>29</v>
      </c>
    </row>
    <row r="6" customFormat="false" ht="15" hidden="false" customHeight="false" outlineLevel="0" collapsed="false">
      <c r="A6" s="14" t="n">
        <f aca="false">'Таблица 3'!F3</f>
        <v>0.031329</v>
      </c>
      <c r="B6" s="15" t="n">
        <f aca="false">'Таблица 3'!F4</f>
        <v>0.0646957226193292</v>
      </c>
      <c r="C6" s="16" t="n">
        <f aca="false">(A6-$L$2)*(A6-$L$2)</f>
        <v>0.000100918767361111</v>
      </c>
      <c r="D6" s="15" t="n">
        <f aca="false">(B6-$M$2)*(B6-$M$2)</f>
        <v>0.000184317659081516</v>
      </c>
      <c r="E6" s="22" t="n">
        <f aca="false">A6-$L$2</f>
        <v>0.0100458333333333</v>
      </c>
      <c r="F6" s="15" t="n">
        <f aca="false">B6-$M$2</f>
        <v>0.0135763639860427</v>
      </c>
      <c r="G6" s="18" t="n">
        <f aca="false">E6*F6</f>
        <v>0.000136385889876454</v>
      </c>
      <c r="H6" s="19" t="n">
        <f aca="false">B6-($O$2+$N$2*A6)</f>
        <v>-0.00442691372945198</v>
      </c>
      <c r="I6" s="15" t="n">
        <f aca="false">H6*H6</f>
        <v>1.95975651680104E-005</v>
      </c>
      <c r="J6" s="18" t="n">
        <f aca="false">SQRT(4*$R$2+4*$Q$2*A6*A6)</f>
        <v>0.01483907609003</v>
      </c>
      <c r="K6" s="19"/>
      <c r="L6" s="19"/>
      <c r="M6" s="19"/>
      <c r="N6" s="19"/>
      <c r="O6" s="19"/>
      <c r="P6" s="19"/>
      <c r="Q6" s="19" t="n">
        <f aca="false">Q4*2</f>
        <v>0.373458417531747</v>
      </c>
      <c r="R6" s="19" t="n">
        <f aca="false">R4*2</f>
        <v>0.00912723047527323</v>
      </c>
    </row>
    <row r="7" customFormat="false" ht="15" hidden="false" customHeight="false" outlineLevel="0" collapsed="false">
      <c r="A7" s="14" t="n">
        <f aca="false">'Таблица 3'!G3</f>
        <v>0.040804</v>
      </c>
      <c r="B7" s="15" t="n">
        <f aca="false">'Таблица 3'!G4</f>
        <v>0.0924862075051347</v>
      </c>
      <c r="C7" s="16" t="n">
        <f aca="false">(A7-$L$2)*(A7-$L$2)</f>
        <v>0.000381062934027777</v>
      </c>
      <c r="D7" s="15" t="n">
        <f aca="false">(B7-$M$2)*(B7-$M$2)</f>
        <v>0.00171121618558633</v>
      </c>
      <c r="E7" s="22" t="n">
        <f aca="false">A7-$L$2</f>
        <v>0.0195208333333333</v>
      </c>
      <c r="F7" s="15" t="n">
        <f aca="false">B7-$M$2</f>
        <v>0.0413668488718482</v>
      </c>
      <c r="G7" s="18" t="n">
        <f aca="false">E7*F7</f>
        <v>0.000807515362352537</v>
      </c>
      <c r="H7" s="19" t="n">
        <f aca="false">B7-($O$2+$N$2*A7)</f>
        <v>0.00638329180129971</v>
      </c>
      <c r="I7" s="15" t="n">
        <f aca="false">H7*H7</f>
        <v>4.07464142205401E-005</v>
      </c>
      <c r="J7" s="18" t="n">
        <f aca="false">SQRT(4*$R$2+4*$Q$2*A7*A7)</f>
        <v>0.0177629159451503</v>
      </c>
      <c r="K7" s="19"/>
      <c r="L7" s="19"/>
      <c r="M7" s="19"/>
      <c r="N7" s="19"/>
      <c r="O7" s="19"/>
      <c r="P7" s="19"/>
      <c r="Q7" s="19"/>
      <c r="R7" s="19"/>
    </row>
    <row r="8" customFormat="false" ht="15" hidden="false" customHeight="false" outlineLevel="0" collapsed="false">
      <c r="A8" s="14"/>
      <c r="B8" s="15"/>
      <c r="C8" s="16"/>
      <c r="D8" s="15"/>
      <c r="E8" s="22"/>
      <c r="F8" s="15"/>
      <c r="G8" s="18"/>
      <c r="H8" s="19"/>
      <c r="I8" s="15"/>
      <c r="J8" s="18"/>
      <c r="K8" s="19"/>
      <c r="L8" s="19"/>
      <c r="M8" s="19"/>
      <c r="N8" s="19"/>
      <c r="O8" s="19"/>
      <c r="P8" s="19"/>
      <c r="Q8" s="19"/>
      <c r="R8" s="19"/>
    </row>
    <row r="9" customFormat="false" ht="15" hidden="false" customHeight="false" outlineLevel="0" collapsed="false">
      <c r="A9" s="14"/>
      <c r="B9" s="15"/>
      <c r="C9" s="16"/>
      <c r="D9" s="15"/>
      <c r="E9" s="22"/>
      <c r="F9" s="15"/>
      <c r="G9" s="18"/>
      <c r="H9" s="19"/>
      <c r="I9" s="15"/>
      <c r="J9" s="18"/>
      <c r="K9" s="19"/>
      <c r="L9" s="19"/>
      <c r="M9" s="19"/>
      <c r="N9" s="19"/>
      <c r="O9" s="19"/>
      <c r="P9" s="19"/>
      <c r="Q9" s="19"/>
      <c r="R9" s="1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LibreOffice/25.2.6.2$Linux_X86_64 LibreOffice_project/40d1a0e1d5bdf1afaeae24d9ece32bbb00fa66a4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ru-RU</dc:language>
  <cp:lastModifiedBy/>
  <cp:lastPrinted>2021-10-21T21:58:13Z</cp:lastPrinted>
  <dcterms:modified xsi:type="dcterms:W3CDTF">2025-11-13T14:07:03Z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