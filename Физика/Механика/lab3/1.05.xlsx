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Автор</author>
  </authors>
  <commentList>
    <comment ref="F3" authorId="0">
      <text>
        <r>
          <rPr>
            <sz val="10"/>
            <rFont val="Arial"/>
            <family val="2"/>
          </rPr>
          <t xml:space="preserve">Занести в ячейки время 10 колебаний согласно пункту 3.2.1 из методички</t>
        </r>
      </text>
    </comment>
    <comment ref="G7" authorId="0">
      <text>
        <r>
          <rPr>
            <sz val="10"/>
            <rFont val="Arial"/>
            <family val="2"/>
          </rPr>
          <t xml:space="preserve">вставить значения времени из пункта 3.2.2, среднее время считается автоматически
а также строится график</t>
        </r>
      </text>
    </comment>
    <comment ref="G13" authorId="0">
      <text>
        <r>
          <rPr>
            <sz val="10"/>
            <rFont val="Arial"/>
            <family val="2"/>
          </rPr>
          <t xml:space="preserve">Вставить значения из пункта 2.3.3.
Среднее значение и период считается автоматически</t>
        </r>
      </text>
    </comment>
    <comment ref="I4" authorId="0">
      <text>
        <r>
          <rPr>
            <sz val="10"/>
            <rFont val="Arial"/>
            <family val="2"/>
          </rPr>
          <t xml:space="preserve">В случае, если сделан вывод о преобладании вязкого трения, то график требуется аппроксимировать по методу МНК</t>
        </r>
      </text>
    </comment>
    <comment ref="I13" authorId="0">
      <text>
        <r>
          <rPr>
            <sz val="10"/>
            <rFont val="Arial"/>
            <family val="2"/>
          </rPr>
          <t xml:space="preserve">В случае сухого трения по угловому коэффициенту a и найденному периоду колебаний посчитать ширину застоя Δϕ3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Автор</author>
  </authors>
  <commentList>
    <comment ref="H4" authorId="0">
      <text>
        <r>
          <rPr>
            <sz val="10"/>
            <rFont val="Arial"/>
            <family val="2"/>
          </rPr>
          <t xml:space="preserve">Записать выше параметры установки l1, l0 и b, данные в таблице посчитаются автоматически</t>
        </r>
      </text>
    </comment>
    <comment ref="H10" authorId="0">
      <text>
        <r>
          <rPr>
            <sz val="10"/>
            <rFont val="Arial"/>
            <family val="2"/>
          </rPr>
          <t xml:space="preserve">Заполнить таблицу так же, как и на листе 1, график построится автоматически, но его нужно аппроксимировать по методу МНК</t>
        </r>
      </text>
    </comment>
    <comment ref="I4" authorId="0">
      <text>
        <r>
          <rPr>
            <sz val="10"/>
            <rFont val="Arial"/>
            <family val="2"/>
          </rPr>
          <t xml:space="preserve">С расчётом lтеор (п. 4.6) возникает неуверенность в правильности, поэтому советуем уточнить у преподавателя</t>
        </r>
      </text>
    </comment>
  </commentList>
</comments>
</file>

<file path=xl/sharedStrings.xml><?xml version="1.0" encoding="utf-8"?>
<sst xmlns="http://schemas.openxmlformats.org/spreadsheetml/2006/main" count="48" uniqueCount="28">
  <si>
    <t xml:space="preserve">положение 0</t>
  </si>
  <si>
    <t xml:space="preserve">t1</t>
  </si>
  <si>
    <t xml:space="preserve">t2</t>
  </si>
  <si>
    <t xml:space="preserve">t3</t>
  </si>
  <si>
    <t xml:space="preserve">среднее значение</t>
  </si>
  <si>
    <t xml:space="preserve">амплитуда отклонения</t>
  </si>
  <si>
    <r>
      <rPr>
        <sz val="11"/>
        <color theme="1"/>
        <rFont val="Calibri"/>
        <family val="2"/>
        <charset val="204"/>
      </rPr>
      <t xml:space="preserve">Δϕ</t>
    </r>
    <r>
      <rPr>
        <sz val="11"/>
        <color theme="1"/>
        <rFont val="Calibri"/>
        <family val="2"/>
        <charset val="1"/>
      </rPr>
      <t xml:space="preserve">3</t>
    </r>
  </si>
  <si>
    <t xml:space="preserve">tср</t>
  </si>
  <si>
    <t xml:space="preserve">Положение</t>
  </si>
  <si>
    <t xml:space="preserve">T</t>
  </si>
  <si>
    <t xml:space="preserve">1 риска</t>
  </si>
  <si>
    <t xml:space="preserve">2 риски</t>
  </si>
  <si>
    <t xml:space="preserve">3 риски</t>
  </si>
  <si>
    <t xml:space="preserve">4 риски</t>
  </si>
  <si>
    <t xml:space="preserve">5 рисок</t>
  </si>
  <si>
    <t xml:space="preserve">6 рисок</t>
  </si>
  <si>
    <t xml:space="preserve">Риски</t>
  </si>
  <si>
    <t xml:space="preserve">Rверх</t>
  </si>
  <si>
    <t xml:space="preserve">l1</t>
  </si>
  <si>
    <t xml:space="preserve">l0</t>
  </si>
  <si>
    <t xml:space="preserve">b</t>
  </si>
  <si>
    <t xml:space="preserve">Rниж</t>
  </si>
  <si>
    <t xml:space="preserve">Rбок</t>
  </si>
  <si>
    <t xml:space="preserve">Iгр</t>
  </si>
  <si>
    <t xml:space="preserve">I</t>
  </si>
  <si>
    <t xml:space="preserve">Iпри эксп</t>
  </si>
  <si>
    <t xml:space="preserve">Iпр теор</t>
  </si>
  <si>
    <t xml:space="preserve">T^2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</si>
</sst>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name val="Arial"/>
      <family val="2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1"/>
      <color theme="1"/>
      <name val="Cambria Math"/>
      <family val="0"/>
    </font>
    <font>
      <sz val="11"/>
      <color theme="1"/>
      <name val="Calibri"/>
      <family val="0"/>
    </font>
    <font>
      <sz val="12"/>
      <color theme="1"/>
      <name val="Cambria Math"/>
      <family val="0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Зависимость амплитуды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колебаний от времени А (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t)</a:t>
            </a:r>
          </a:p>
        </c:rich>
      </c:tx>
      <c:layout>
        <c:manualLayout>
          <c:xMode val="edge"/>
          <c:yMode val="edge"/>
          <c:x val="0.109401446376366"/>
          <c:y val="0.0258002866698519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Лист1!$B$11:$F$11</c:f>
              <c:numCache>
                <c:formatCode>General</c:formatCode>
                <c:ptCount val="5"/>
                <c:pt idx="0">
                  <c:v>36.1366666666667</c:v>
                </c:pt>
                <c:pt idx="1">
                  <c:v>75.0966666666667</c:v>
                </c:pt>
                <c:pt idx="2">
                  <c:v>121.976666666667</c:v>
                </c:pt>
                <c:pt idx="3">
                  <c:v>175.953333333333</c:v>
                </c:pt>
                <c:pt idx="4">
                  <c:v>254.206666666667</c:v>
                </c:pt>
              </c:numCache>
            </c:numRef>
          </c:xVal>
          <c:yVal>
            <c:numRef>
              <c:f>Лист1!$B$7:$F$7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9ccff"/>
            </a:solidFill>
            <a:ln w="2556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Лист1!$I$6:$I$10</c:f>
              <c:numCache>
                <c:formatCode>General</c:formatCode>
                <c:ptCount val="5"/>
              </c:numCache>
            </c:numRef>
          </c:xVal>
          <c:yVal>
            <c:numRef>
              <c:f>Лист1!$K$6:$K$10</c:f>
              <c:numCache>
                <c:formatCode>General</c:formatCode>
                <c:ptCount val="5"/>
              </c:numCache>
            </c:numRef>
          </c:yVal>
          <c:smooth val="0"/>
        </c:ser>
        <c:axId val="4020377"/>
        <c:axId val="76811185"/>
      </c:scatterChart>
      <c:valAx>
        <c:axId val="402037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t,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6811185"/>
        <c:crosses val="autoZero"/>
        <c:crossBetween val="midCat"/>
      </c:valAx>
      <c:valAx>
        <c:axId val="768111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А,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@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02037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Зависимость квадрата периода от момента инерции 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T^2(I)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Лист2!$B$6:$G$6</c:f>
              <c:numCache>
                <c:formatCode>0.000</c:formatCode>
                <c:ptCount val="6"/>
                <c:pt idx="0">
                  <c:v>0.031905128</c:v>
                </c:pt>
                <c:pt idx="1">
                  <c:v>0.035556728</c:v>
                </c:pt>
                <c:pt idx="2">
                  <c:v>0.040228328</c:v>
                </c:pt>
                <c:pt idx="3">
                  <c:v>0.045919928</c:v>
                </c:pt>
                <c:pt idx="4">
                  <c:v>0.052631528</c:v>
                </c:pt>
                <c:pt idx="5">
                  <c:v>0.060363128</c:v>
                </c:pt>
              </c:numCache>
            </c:numRef>
          </c:xVal>
          <c:yVal>
            <c:numRef>
              <c:f>Лист2!$G$11:$G$16</c:f>
              <c:numCache>
                <c:formatCode>General</c:formatCode>
                <c:ptCount val="6"/>
                <c:pt idx="0">
                  <c:v>2.80674177777778</c:v>
                </c:pt>
                <c:pt idx="1">
                  <c:v>3.08236544444445</c:v>
                </c:pt>
                <c:pt idx="2">
                  <c:v>3.45712044444444</c:v>
                </c:pt>
                <c:pt idx="3">
                  <c:v>3.89799211111111</c:v>
                </c:pt>
                <c:pt idx="4">
                  <c:v>4.48027777777778</c:v>
                </c:pt>
                <c:pt idx="5">
                  <c:v>5.10910677777778</c:v>
                </c:pt>
              </c:numCache>
            </c:numRef>
          </c:yVal>
          <c:smooth val="0"/>
        </c:ser>
        <c:axId val="29654895"/>
        <c:axId val="71969072"/>
      </c:scatterChart>
      <c:valAx>
        <c:axId val="2965489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I,</a:t>
                </a: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кг*м</a:t>
                </a: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^2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1969072"/>
        <c:crosses val="autoZero"/>
        <c:crossBetween val="midCat"/>
      </c:valAx>
      <c:valAx>
        <c:axId val="719690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T, 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965489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55080</xdr:colOff>
      <xdr:row>2</xdr:row>
      <xdr:rowOff>52200</xdr:rowOff>
    </xdr:from>
    <xdr:to>
      <xdr:col>20</xdr:col>
      <xdr:colOff>165600</xdr:colOff>
      <xdr:row>18</xdr:row>
      <xdr:rowOff>17640</xdr:rowOff>
    </xdr:to>
    <xdr:graphicFrame>
      <xdr:nvGraphicFramePr>
        <xdr:cNvPr id="0" name="Диаграмма 4"/>
        <xdr:cNvGraphicFramePr/>
      </xdr:nvGraphicFramePr>
      <xdr:xfrm>
        <a:off x="10094400" y="433080"/>
        <a:ext cx="2339280" cy="301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33480</xdr:colOff>
      <xdr:row>10</xdr:row>
      <xdr:rowOff>42840</xdr:rowOff>
    </xdr:from>
    <xdr:to>
      <xdr:col>8</xdr:col>
      <xdr:colOff>589320</xdr:colOff>
      <xdr:row>11</xdr:row>
      <xdr:rowOff>166680</xdr:rowOff>
    </xdr:to>
    <xdr:sp>
      <xdr:nvSpPr>
        <xdr:cNvPr id="1" name="TextBox 2"/>
        <xdr:cNvSpPr/>
      </xdr:nvSpPr>
      <xdr:spPr>
        <a:xfrm>
          <a:off x="8199720" y="1947960"/>
          <a:ext cx="555840" cy="314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mbria Math"/>
            </a:rPr>
            <a:t>"Δ" 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libri"/>
            </a:rPr>
            <a:t>"ϕ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mbria Math"/>
            </a:rPr>
            <a:t>" _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libri"/>
            </a:rPr>
            <a:t>"3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mbria Math"/>
            </a:rPr>
            <a:t>"  "</a:t>
          </a:r>
          <a:r>
            <a:rPr b="0" lang="el-GR" sz="1200" strike="noStrike" u="none">
              <a:solidFill>
                <a:schemeClr val="dk1"/>
              </a:solidFill>
              <a:effectLst/>
              <a:uFillTx/>
              <a:latin typeface="Cambria Math"/>
            </a:rPr>
            <a:t> </a:t>
          </a:r>
          <a:r>
            <a:rPr b="0" lang="en-US" sz="1200" strike="noStrike" u="none">
              <a:solidFill>
                <a:schemeClr val="dk1"/>
              </a:solidFill>
              <a:effectLst/>
              <a:uFillTx/>
              <a:latin typeface="Cambria Math"/>
            </a:rPr>
            <a:t>="  𝑎𝑇/(−4)</a:t>
          </a:r>
          <a:endParaRPr b="0" lang="ru-RU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207720</xdr:colOff>
      <xdr:row>9</xdr:row>
      <xdr:rowOff>61920</xdr:rowOff>
    </xdr:from>
    <xdr:to>
      <xdr:col>15</xdr:col>
      <xdr:colOff>491760</xdr:colOff>
      <xdr:row>23</xdr:row>
      <xdr:rowOff>136800</xdr:rowOff>
    </xdr:to>
    <xdr:graphicFrame>
      <xdr:nvGraphicFramePr>
        <xdr:cNvPr id="2" name="Диаграмма 1"/>
        <xdr:cNvGraphicFramePr/>
      </xdr:nvGraphicFramePr>
      <xdr:xfrm>
        <a:off x="9363240" y="1776600"/>
        <a:ext cx="43480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356040</xdr:colOff>
      <xdr:row>1</xdr:row>
      <xdr:rowOff>56880</xdr:rowOff>
    </xdr:from>
    <xdr:to>
      <xdr:col>14</xdr:col>
      <xdr:colOff>217440</xdr:colOff>
      <xdr:row>5</xdr:row>
      <xdr:rowOff>85320</xdr:rowOff>
    </xdr:to>
    <xdr:pic>
      <xdr:nvPicPr>
        <xdr:cNvPr id="3" name="Рисунок 2" descr=""/>
        <xdr:cNvPicPr/>
      </xdr:nvPicPr>
      <xdr:blipFill>
        <a:blip r:embed="rId2"/>
        <a:stretch/>
      </xdr:blipFill>
      <xdr:spPr>
        <a:xfrm>
          <a:off x="9511560" y="247320"/>
          <a:ext cx="3112560" cy="79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1" sqref="B8:G8 I18"/>
    </sheetView>
  </sheetViews>
  <sheetFormatPr defaultColWidth="3.515625" defaultRowHeight="15" customHeight="true" zeroHeight="false" outlineLevelRow="0" outlineLevelCol="0"/>
  <cols>
    <col collapsed="false" customWidth="true" hidden="false" outlineLevel="0" max="1" min="1" style="1" width="22.02"/>
    <col collapsed="false" customWidth="true" hidden="false" outlineLevel="0" max="5" min="2" style="1" width="18.82"/>
    <col collapsed="false" customWidth="true" hidden="false" outlineLevel="0" max="6" min="6" style="1" width="11.53"/>
    <col collapsed="false" customWidth="true" hidden="false" outlineLevel="0" max="10" min="9" style="1" width="11.53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15" hidden="false" customHeight="false" outlineLevel="0" collapsed="false">
      <c r="A3" s="2"/>
      <c r="B3" s="2" t="n">
        <v>18.73</v>
      </c>
      <c r="C3" s="2" t="n">
        <v>18.42</v>
      </c>
      <c r="D3" s="2" t="n">
        <v>18.63</v>
      </c>
      <c r="E3" s="2" t="n">
        <f aca="false">AVERAGE(B3:D3)/10</f>
        <v>1.85933333333333</v>
      </c>
    </row>
    <row r="7" customFormat="false" ht="15" hidden="false" customHeight="false" outlineLevel="0" collapsed="false">
      <c r="A7" s="2" t="s">
        <v>5</v>
      </c>
      <c r="B7" s="2" t="n">
        <v>25</v>
      </c>
      <c r="C7" s="2" t="n">
        <v>20</v>
      </c>
      <c r="D7" s="2" t="n">
        <v>15</v>
      </c>
      <c r="E7" s="2" t="n">
        <v>10</v>
      </c>
      <c r="F7" s="2" t="n">
        <v>5</v>
      </c>
    </row>
    <row r="8" customFormat="false" ht="15" hidden="false" customHeight="false" outlineLevel="0" collapsed="false">
      <c r="A8" s="2" t="s">
        <v>1</v>
      </c>
      <c r="B8" s="2" t="n">
        <v>34.05</v>
      </c>
      <c r="C8" s="2" t="n">
        <f aca="false">B8+39.63</f>
        <v>73.68</v>
      </c>
      <c r="D8" s="2" t="n">
        <f aca="false">C8+49.97</f>
        <v>123.65</v>
      </c>
      <c r="E8" s="2" t="n">
        <f aca="false">D8 + 57.1</f>
        <v>180.75</v>
      </c>
      <c r="F8" s="2" t="n">
        <f aca="false">E8+72.71</f>
        <v>253.46</v>
      </c>
    </row>
    <row r="9" customFormat="false" ht="15" hidden="false" customHeight="false" outlineLevel="0" collapsed="false">
      <c r="A9" s="2" t="s">
        <v>2</v>
      </c>
      <c r="B9" s="2" t="n">
        <v>38.81</v>
      </c>
      <c r="C9" s="2" t="n">
        <v>75.17</v>
      </c>
      <c r="D9" s="2" t="n">
        <v>121.17</v>
      </c>
      <c r="E9" s="2" t="n">
        <v>174.45</v>
      </c>
      <c r="F9" s="2" t="n">
        <v>252.96</v>
      </c>
    </row>
    <row r="10" customFormat="false" ht="15" hidden="false" customHeight="false" outlineLevel="0" collapsed="false">
      <c r="A10" s="2" t="s">
        <v>3</v>
      </c>
      <c r="B10" s="2" t="n">
        <v>35.55</v>
      </c>
      <c r="C10" s="2" t="n">
        <v>76.44</v>
      </c>
      <c r="D10" s="2" t="n">
        <v>121.11</v>
      </c>
      <c r="E10" s="2" t="n">
        <v>172.66</v>
      </c>
      <c r="F10" s="2" t="n">
        <v>256.2</v>
      </c>
      <c r="I10" s="3" t="s">
        <v>6</v>
      </c>
      <c r="J10" s="2"/>
    </row>
    <row r="11" customFormat="false" ht="15" hidden="false" customHeight="false" outlineLevel="0" collapsed="false">
      <c r="A11" s="2" t="s">
        <v>7</v>
      </c>
      <c r="B11" s="2" t="n">
        <f aca="false">AVERAGE(B8:B10)</f>
        <v>36.1366666666667</v>
      </c>
      <c r="C11" s="2" t="n">
        <f aca="false">AVERAGE(C8:C10)</f>
        <v>75.0966666666667</v>
      </c>
      <c r="D11" s="2" t="n">
        <f aca="false">AVERAGE(D8:D10)</f>
        <v>121.976666666667</v>
      </c>
      <c r="E11" s="2" t="n">
        <f aca="false">AVERAGE(E8:E10)</f>
        <v>175.953333333333</v>
      </c>
      <c r="F11" s="2" t="n">
        <f aca="false">AVERAGE(F8:F10)</f>
        <v>254.206666666667</v>
      </c>
      <c r="I11" s="4"/>
      <c r="J11" s="5"/>
    </row>
    <row r="12" customFormat="false" ht="15" hidden="false" customHeight="false" outlineLevel="0" collapsed="false">
      <c r="I12" s="6"/>
      <c r="J12" s="5"/>
    </row>
    <row r="13" customFormat="false" ht="15" hidden="false" customHeight="false" outlineLevel="0" collapsed="false">
      <c r="A13" s="2" t="s">
        <v>8</v>
      </c>
      <c r="B13" s="2" t="s">
        <v>1</v>
      </c>
      <c r="C13" s="2" t="s">
        <v>2</v>
      </c>
      <c r="D13" s="2" t="s">
        <v>3</v>
      </c>
      <c r="E13" s="2" t="s">
        <v>7</v>
      </c>
      <c r="F13" s="2" t="s">
        <v>9</v>
      </c>
    </row>
    <row r="14" customFormat="false" ht="15" hidden="false" customHeight="false" outlineLevel="0" collapsed="false">
      <c r="A14" s="2" t="s">
        <v>10</v>
      </c>
      <c r="B14" s="2" t="n">
        <v>16.84</v>
      </c>
      <c r="C14" s="2" t="n">
        <v>16.78</v>
      </c>
      <c r="D14" s="2" t="n">
        <v>16.64</v>
      </c>
      <c r="E14" s="7" t="n">
        <f aca="false">AVERAGE(B14:D14)</f>
        <v>16.7533333333333</v>
      </c>
      <c r="F14" s="8" t="n">
        <f aca="false">E14/10</f>
        <v>1.67533333333333</v>
      </c>
    </row>
    <row r="15" customFormat="false" ht="15" hidden="false" customHeight="false" outlineLevel="0" collapsed="false">
      <c r="A15" s="2" t="s">
        <v>11</v>
      </c>
      <c r="B15" s="2" t="n">
        <v>17.58</v>
      </c>
      <c r="C15" s="2" t="n">
        <v>17.44</v>
      </c>
      <c r="D15" s="2" t="n">
        <v>17.65</v>
      </c>
      <c r="E15" s="7" t="n">
        <f aca="false">AVERAGE(B15:D15)</f>
        <v>17.5566666666667</v>
      </c>
      <c r="F15" s="8" t="n">
        <f aca="false">E15/10</f>
        <v>1.75566666666667</v>
      </c>
    </row>
    <row r="16" customFormat="false" ht="15" hidden="false" customHeight="false" outlineLevel="0" collapsed="false">
      <c r="A16" s="2" t="s">
        <v>12</v>
      </c>
      <c r="B16" s="2" t="n">
        <v>18.73</v>
      </c>
      <c r="C16" s="2" t="n">
        <v>18.42</v>
      </c>
      <c r="D16" s="2" t="n">
        <v>18.63</v>
      </c>
      <c r="E16" s="7" t="n">
        <f aca="false">AVERAGE(B16:D16)</f>
        <v>18.5933333333333</v>
      </c>
      <c r="F16" s="8" t="n">
        <f aca="false">E16/10</f>
        <v>1.85933333333333</v>
      </c>
    </row>
    <row r="17" customFormat="false" ht="15" hidden="false" customHeight="false" outlineLevel="0" collapsed="false">
      <c r="A17" s="2" t="s">
        <v>13</v>
      </c>
      <c r="B17" s="2" t="n">
        <v>19.69</v>
      </c>
      <c r="C17" s="2" t="n">
        <v>19.85</v>
      </c>
      <c r="D17" s="2" t="n">
        <v>19.69</v>
      </c>
      <c r="E17" s="7" t="n">
        <f aca="false">AVERAGE(B17:D17)</f>
        <v>19.7433333333333</v>
      </c>
      <c r="F17" s="8" t="n">
        <f aca="false">E17/10</f>
        <v>1.97433333333333</v>
      </c>
    </row>
    <row r="18" customFormat="false" ht="15" hidden="false" customHeight="false" outlineLevel="0" collapsed="false">
      <c r="A18" s="2" t="s">
        <v>14</v>
      </c>
      <c r="B18" s="2" t="n">
        <v>21.27</v>
      </c>
      <c r="C18" s="2" t="n">
        <v>21.14</v>
      </c>
      <c r="D18" s="2" t="n">
        <v>21.09</v>
      </c>
      <c r="E18" s="7" t="n">
        <f aca="false">AVERAGE(B18:D18)</f>
        <v>21.1666666666667</v>
      </c>
      <c r="F18" s="8" t="n">
        <f aca="false">E18/10</f>
        <v>2.11666666666667</v>
      </c>
    </row>
    <row r="19" customFormat="false" ht="15" hidden="false" customHeight="false" outlineLevel="0" collapsed="false">
      <c r="A19" s="2" t="s">
        <v>15</v>
      </c>
      <c r="B19" s="2" t="n">
        <v>22.65</v>
      </c>
      <c r="C19" s="2" t="n">
        <v>22.6</v>
      </c>
      <c r="D19" s="2" t="n">
        <v>22.56</v>
      </c>
      <c r="E19" s="7" t="n">
        <f aca="false">AVERAGE(B19:D19)</f>
        <v>22.6033333333333</v>
      </c>
      <c r="F19" s="8" t="n">
        <f aca="false">E19/10</f>
        <v>2.26033333333333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:G8"/>
    </sheetView>
  </sheetViews>
  <sheetFormatPr defaultColWidth="3.515625" defaultRowHeight="15" customHeight="true" zeroHeight="false" outlineLevelRow="0" outlineLevelCol="0"/>
  <cols>
    <col collapsed="false" customWidth="true" hidden="false" outlineLevel="0" max="5" min="1" style="1" width="11.53"/>
    <col collapsed="false" customWidth="true" hidden="false" outlineLevel="0" max="7" min="6" style="1" width="18.82"/>
    <col collapsed="false" customWidth="true" hidden="false" outlineLevel="0" max="16" min="8" style="1" width="11.53"/>
    <col collapsed="false" customWidth="true" hidden="false" outlineLevel="0" max="18" min="18" style="1" width="11.53"/>
  </cols>
  <sheetData>
    <row r="1" customFormat="false" ht="15" hidden="false" customHeight="false" outlineLevel="0" collapsed="false">
      <c r="A1" s="2" t="s">
        <v>16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</row>
    <row r="2" customFormat="false" ht="15" hidden="false" customHeight="false" outlineLevel="0" collapsed="false">
      <c r="A2" s="2" t="s">
        <v>17</v>
      </c>
      <c r="B2" s="9" t="n">
        <v>0.077</v>
      </c>
      <c r="C2" s="9"/>
      <c r="D2" s="9"/>
      <c r="E2" s="9"/>
      <c r="F2" s="9"/>
      <c r="G2" s="9"/>
      <c r="H2" s="2" t="s">
        <v>18</v>
      </c>
      <c r="I2" s="2" t="s">
        <v>19</v>
      </c>
      <c r="J2" s="2" t="s">
        <v>20</v>
      </c>
    </row>
    <row r="3" customFormat="false" ht="15" hidden="false" customHeight="false" outlineLevel="0" collapsed="false">
      <c r="A3" s="2" t="s">
        <v>21</v>
      </c>
      <c r="B3" s="9" t="n">
        <v>0.202</v>
      </c>
      <c r="C3" s="9"/>
      <c r="D3" s="9"/>
      <c r="E3" s="9"/>
      <c r="F3" s="9"/>
      <c r="G3" s="9"/>
      <c r="H3" s="2"/>
      <c r="I3" s="2"/>
      <c r="J3" s="2"/>
    </row>
    <row r="4" customFormat="false" ht="15" hidden="false" customHeight="false" outlineLevel="0" collapsed="false">
      <c r="A4" s="2" t="s">
        <v>22</v>
      </c>
      <c r="B4" s="2" t="n">
        <v>0.077</v>
      </c>
      <c r="C4" s="2" t="n">
        <v>0.102</v>
      </c>
      <c r="D4" s="2" t="n">
        <v>0.127</v>
      </c>
      <c r="E4" s="2" t="n">
        <v>0.152</v>
      </c>
      <c r="F4" s="2" t="n">
        <v>0.177</v>
      </c>
      <c r="G4" s="2" t="n">
        <v>0.202</v>
      </c>
    </row>
    <row r="5" customFormat="false" ht="15" hidden="false" customHeight="false" outlineLevel="0" collapsed="false">
      <c r="A5" s="2" t="s">
        <v>23</v>
      </c>
      <c r="B5" s="7" t="n">
        <f aca="false">0.408*($B$2^2+$B$3^2+2*B4^2)</f>
        <v>0.023905128</v>
      </c>
      <c r="C5" s="7" t="n">
        <f aca="false">0.408*($B$2^2+$B$3^2+2*C4^2)</f>
        <v>0.027556728</v>
      </c>
      <c r="D5" s="7" t="n">
        <f aca="false">0.408*($B$2^2+$B$3^2+2*D4^2)</f>
        <v>0.032228328</v>
      </c>
      <c r="E5" s="7" t="n">
        <f aca="false">0.408*($B$2^2+$B$3^2+2*E4^2)</f>
        <v>0.037919928</v>
      </c>
      <c r="F5" s="7" t="n">
        <f aca="false">0.408*($B$2^2+$B$3^2+2*F4^2)</f>
        <v>0.044631528</v>
      </c>
      <c r="G5" s="7" t="n">
        <f aca="false">0.408*($B$2^2+$B$3^2+2*G4^2)</f>
        <v>0.052363128</v>
      </c>
    </row>
    <row r="6" customFormat="false" ht="15" hidden="false" customHeight="false" outlineLevel="0" collapsed="false">
      <c r="A6" s="2" t="s">
        <v>24</v>
      </c>
      <c r="B6" s="7" t="n">
        <f aca="false">B5+0.008</f>
        <v>0.031905128</v>
      </c>
      <c r="C6" s="7" t="n">
        <f aca="false">C5+0.008</f>
        <v>0.035556728</v>
      </c>
      <c r="D6" s="7" t="n">
        <f aca="false">D5+0.008</f>
        <v>0.040228328</v>
      </c>
      <c r="E6" s="7" t="n">
        <f aca="false">E5+0.008</f>
        <v>0.045919928</v>
      </c>
      <c r="F6" s="7" t="n">
        <f aca="false">F5+0.008</f>
        <v>0.052631528</v>
      </c>
      <c r="G6" s="7" t="n">
        <f aca="false">G5+0.008</f>
        <v>0.060363128</v>
      </c>
      <c r="H6" s="1" t="s">
        <v>4</v>
      </c>
    </row>
    <row r="7" customFormat="false" ht="15" hidden="false" customHeight="false" outlineLevel="0" collapsed="false">
      <c r="A7" s="2" t="s">
        <v>25</v>
      </c>
      <c r="B7" s="7" t="n">
        <f aca="false">10*G11/4/PI()^2</f>
        <v>0.71095599775711</v>
      </c>
      <c r="C7" s="7" t="n">
        <f aca="false">10*G12/4/PI()^2</f>
        <v>0.780772288123379</v>
      </c>
      <c r="D7" s="7" t="n">
        <f aca="false">10*G13/4/PI()^2</f>
        <v>0.87569883856309</v>
      </c>
      <c r="E7" s="7" t="n">
        <f aca="false">10*G14/4/PI()^2</f>
        <v>0.987372936315682</v>
      </c>
      <c r="F7" s="7" t="n">
        <f aca="false">10*G15/4/PI()^2</f>
        <v>1.13486761872727</v>
      </c>
      <c r="G7" s="7" t="n">
        <f aca="false">10*G16/4/PI()^2</f>
        <v>1.29415186519884</v>
      </c>
      <c r="H7" s="1" t="n">
        <f aca="false">AVERAGE(B7:G7)</f>
        <v>0.963969924114228</v>
      </c>
    </row>
    <row r="8" customFormat="false" ht="15" hidden="false" customHeight="false" outlineLevel="0" collapsed="false">
      <c r="A8" s="2" t="s">
        <v>26</v>
      </c>
      <c r="B8" s="7" t="n">
        <f aca="false">B6/0.045</f>
        <v>0.709002844444444</v>
      </c>
      <c r="C8" s="7" t="n">
        <f aca="false">C6/0.045</f>
        <v>0.790149511111111</v>
      </c>
      <c r="D8" s="7" t="n">
        <f aca="false">D6/0.045</f>
        <v>0.893962844444445</v>
      </c>
      <c r="E8" s="7" t="n">
        <f aca="false">E6/0.045</f>
        <v>1.02044284444444</v>
      </c>
      <c r="F8" s="7" t="n">
        <f aca="false">F6/0.045</f>
        <v>1.16958951111111</v>
      </c>
      <c r="G8" s="7" t="n">
        <f aca="false">G6/0.045</f>
        <v>1.34140284444444</v>
      </c>
      <c r="H8" s="1" t="n">
        <f aca="false">AVERAGE(B8:G8)</f>
        <v>0.987425066666667</v>
      </c>
    </row>
    <row r="10" customFormat="false" ht="15" hidden="false" customHeight="false" outlineLevel="0" collapsed="false">
      <c r="A10" s="2" t="s">
        <v>8</v>
      </c>
      <c r="B10" s="2" t="s">
        <v>1</v>
      </c>
      <c r="C10" s="2" t="s">
        <v>2</v>
      </c>
      <c r="D10" s="2" t="s">
        <v>3</v>
      </c>
      <c r="E10" s="2" t="s">
        <v>7</v>
      </c>
      <c r="F10" s="2" t="s">
        <v>9</v>
      </c>
      <c r="G10" s="10" t="s">
        <v>27</v>
      </c>
    </row>
    <row r="11" customFormat="false" ht="15" hidden="false" customHeight="false" outlineLevel="0" collapsed="false">
      <c r="A11" s="2" t="s">
        <v>10</v>
      </c>
      <c r="B11" s="2" t="n">
        <v>16.84</v>
      </c>
      <c r="C11" s="2" t="n">
        <v>16.78</v>
      </c>
      <c r="D11" s="2" t="n">
        <v>16.64</v>
      </c>
      <c r="E11" s="2" t="n">
        <f aca="false">AVERAGE(B11:D11)</f>
        <v>16.7533333333333</v>
      </c>
      <c r="F11" s="2" t="n">
        <f aca="false">E11/10</f>
        <v>1.67533333333333</v>
      </c>
      <c r="G11" s="10" t="n">
        <f aca="false">F11^2</f>
        <v>2.80674177777778</v>
      </c>
      <c r="J11" s="11"/>
    </row>
    <row r="12" customFormat="false" ht="15" hidden="false" customHeight="false" outlineLevel="0" collapsed="false">
      <c r="A12" s="2" t="s">
        <v>11</v>
      </c>
      <c r="B12" s="2" t="n">
        <v>17.58</v>
      </c>
      <c r="C12" s="2" t="n">
        <v>17.44</v>
      </c>
      <c r="D12" s="2" t="n">
        <v>17.65</v>
      </c>
      <c r="E12" s="2" t="n">
        <f aca="false">AVERAGE(B12:D12)</f>
        <v>17.5566666666667</v>
      </c>
      <c r="F12" s="2" t="n">
        <f aca="false">E12/10</f>
        <v>1.75566666666667</v>
      </c>
      <c r="G12" s="10" t="n">
        <f aca="false">F12^2</f>
        <v>3.08236544444445</v>
      </c>
    </row>
    <row r="13" customFormat="false" ht="15" hidden="false" customHeight="false" outlineLevel="0" collapsed="false">
      <c r="A13" s="2" t="s">
        <v>12</v>
      </c>
      <c r="B13" s="2" t="n">
        <v>18.73</v>
      </c>
      <c r="C13" s="2" t="n">
        <v>18.42</v>
      </c>
      <c r="D13" s="2" t="n">
        <v>18.63</v>
      </c>
      <c r="E13" s="2" t="n">
        <f aca="false">AVERAGE(B13:D13)</f>
        <v>18.5933333333333</v>
      </c>
      <c r="F13" s="2" t="n">
        <f aca="false">E13/10</f>
        <v>1.85933333333333</v>
      </c>
      <c r="G13" s="10" t="n">
        <f aca="false">F13^2</f>
        <v>3.45712044444444</v>
      </c>
    </row>
    <row r="14" customFormat="false" ht="15" hidden="false" customHeight="false" outlineLevel="0" collapsed="false">
      <c r="A14" s="2" t="s">
        <v>13</v>
      </c>
      <c r="B14" s="2" t="n">
        <v>19.69</v>
      </c>
      <c r="C14" s="2" t="n">
        <v>19.85</v>
      </c>
      <c r="D14" s="2" t="n">
        <v>19.69</v>
      </c>
      <c r="E14" s="2" t="n">
        <f aca="false">AVERAGE(B14:D14)</f>
        <v>19.7433333333333</v>
      </c>
      <c r="F14" s="2" t="n">
        <f aca="false">E14/10</f>
        <v>1.97433333333333</v>
      </c>
      <c r="G14" s="10" t="n">
        <f aca="false">F14^2</f>
        <v>3.89799211111111</v>
      </c>
    </row>
    <row r="15" customFormat="false" ht="15" hidden="false" customHeight="false" outlineLevel="0" collapsed="false">
      <c r="A15" s="2" t="s">
        <v>14</v>
      </c>
      <c r="B15" s="2" t="n">
        <v>21.27</v>
      </c>
      <c r="C15" s="2" t="n">
        <v>21.14</v>
      </c>
      <c r="D15" s="2" t="n">
        <v>21.09</v>
      </c>
      <c r="E15" s="2" t="n">
        <f aca="false">AVERAGE(B15:D15)</f>
        <v>21.1666666666667</v>
      </c>
      <c r="F15" s="2" t="n">
        <f aca="false">E15/10</f>
        <v>2.11666666666667</v>
      </c>
      <c r="G15" s="10" t="n">
        <f aca="false">F15^2</f>
        <v>4.48027777777778</v>
      </c>
    </row>
    <row r="16" customFormat="false" ht="15" hidden="false" customHeight="false" outlineLevel="0" collapsed="false">
      <c r="A16" s="2" t="s">
        <v>15</v>
      </c>
      <c r="B16" s="2" t="n">
        <v>22.65</v>
      </c>
      <c r="C16" s="2" t="n">
        <v>22.6</v>
      </c>
      <c r="D16" s="2" t="n">
        <v>22.56</v>
      </c>
      <c r="E16" s="2" t="n">
        <f aca="false">AVERAGE(B16:D16)</f>
        <v>22.6033333333333</v>
      </c>
      <c r="F16" s="2" t="n">
        <f aca="false">E16/10</f>
        <v>2.26033333333333</v>
      </c>
      <c r="G16" s="10" t="n">
        <f aca="false">F16^2</f>
        <v>5.10910677777778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2025-11-13T12:26:33Z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